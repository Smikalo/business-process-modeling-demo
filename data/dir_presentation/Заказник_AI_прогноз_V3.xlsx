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Январь 2026 — план vs AI" sheetId="2" state="visible" r:id="rId4"/>
    <sheet name="Cubic Fun" sheetId="3" state="visible" r:id="rId5"/>
    <sheet name="Djeco" sheetId="4" state="visible" r:id="rId6"/>
    <sheet name="Infantin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<sst xmlns="http://schemas.openxmlformats.org/spreadsheetml/2006/main" count="2227" uniqueCount="806">
  <si>
    <t xml:space="preserve">Прогноз AI vs Факт — тестовый период (июль 2025 – январь 2026)</t>
  </si>
  <si>
    <t xml:space="preserve">Модель V12.2_champion = 0.925·V11_final + 0.075·V12_external   |   WAPE 39.3 %   |   Ежемесячная точность ≈ 92 %   |   Bias +2.1 %</t>
  </si>
  <si>
    <t xml:space="preserve">Бренд</t>
  </si>
  <si>
    <t xml:space="preserve">Метрика</t>
  </si>
  <si>
    <t xml:space="preserve">июл 25</t>
  </si>
  <si>
    <t xml:space="preserve">авг 25</t>
  </si>
  <si>
    <t xml:space="preserve">сен 25</t>
  </si>
  <si>
    <t xml:space="preserve">окт 25</t>
  </si>
  <si>
    <t xml:space="preserve">ноя 25</t>
  </si>
  <si>
    <t xml:space="preserve">дек 25</t>
  </si>
  <si>
    <t xml:space="preserve">янв 26</t>
  </si>
  <si>
    <t xml:space="preserve">Итого 7 мес</t>
  </si>
  <si>
    <t xml:space="preserve">Cubic Fun</t>
  </si>
  <si>
    <t xml:space="preserve">Отгрузки Факт (шт)</t>
  </si>
  <si>
    <t xml:space="preserve">Прогноз AI (шт)</t>
  </si>
  <si>
    <t xml:space="preserve">Отклонение AI (шт)</t>
  </si>
  <si>
    <t xml:space="preserve">Отклонение AI (%)</t>
  </si>
  <si>
    <t xml:space="preserve">Отгрузки Факт (тыс UAH)</t>
  </si>
  <si>
    <t xml:space="preserve">Прогноз AI (тыс UAH)</t>
  </si>
  <si>
    <t xml:space="preserve">Djeco</t>
  </si>
  <si>
    <t xml:space="preserve">Infantino</t>
  </si>
  <si>
    <t xml:space="preserve">ИТОГО
3 бренда</t>
  </si>
  <si>
    <t xml:space="preserve">Источники:  Отгрузки Факт + Прогноз AI — тестовый набор V12.2_champion (модель не видела этих данных при обучении). Финансовые показатели в UAH рассчитаны по фактической цене продажи бренд × месяц. Не вошло в этот лист: 3 нераспознанных SKU (005209, 005058, 005373) — суммарный объём 982 шт за 7 мес. Эти артикулы отсутствуют как в справочнике номенклатуры, так и в заказниках Cubic Fun / Infantino.</t>
  </si>
  <si>
    <t xml:space="preserve">Январь 2026:  Факт  vs  План директора (Заказник)  vs  Прогноз AI</t>
  </si>
  <si>
    <t xml:space="preserve">Сравнение по SKU из пересечения «Заказник + тестовый набор модели».   Доступно: Cubic Fun + Infantino.</t>
  </si>
  <si>
    <t xml:space="preserve">Кол-во SKU</t>
  </si>
  <si>
    <t xml:space="preserve">Факт (шт)</t>
  </si>
  <si>
    <t xml:space="preserve">План директора (шт)</t>
  </si>
  <si>
    <t xml:space="preserve">Откл. плана (%)</t>
  </si>
  <si>
    <t xml:space="preserve">Откл. AI (%)</t>
  </si>
  <si>
    <t xml:space="preserve">Кто ближе к факту</t>
  </si>
  <si>
    <t xml:space="preserve">ИТОГО</t>
  </si>
  <si>
    <t xml:space="preserve">Замечание:  Заказники Cubic Fun и Infantino созданы 06.03.2026, к этому моменту январь 2026 уже завершился, поэтому показатель «План директора» может содержать обновлённые после факта значения. Однозначная интерпретация требует ex-ante плана директора (таких файлов у нас нет). Январь — самый сложный месяц для модели (75.7 % точности по всем брендам в тесте). По Cubic Fun план директора оказался крайне точным, по Infantino — недопрогноз −37 %, тогда как AI — перепрогноз +34 %.</t>
  </si>
  <si>
    <t xml:space="preserve">Cubic Fun  —  Прогноз AI vs Факт по тестовому периоду</t>
  </si>
  <si>
    <t xml:space="preserve">──  Уровень бренда  ──</t>
  </si>
  <si>
    <t xml:space="preserve">──  Уровень SKU  (отсортировано по объёму факта в тесте)  ──</t>
  </si>
  <si>
    <t xml:space="preserve">Артикул</t>
  </si>
  <si>
    <t xml:space="preserve">Наименование</t>
  </si>
  <si>
    <t xml:space="preserve">Итого</t>
  </si>
  <si>
    <t xml:space="preserve">L532h</t>
  </si>
  <si>
    <t xml:space="preserve">CubicFun Тривимірна головоломка-конструктор CIT…</t>
  </si>
  <si>
    <t xml:space="preserve">Откл. (%)</t>
  </si>
  <si>
    <t xml:space="preserve">S3018h</t>
  </si>
  <si>
    <t xml:space="preserve">Cubic Fun Тривимірна головоломка-конструктор "А…</t>
  </si>
  <si>
    <t xml:space="preserve">DS1087h</t>
  </si>
  <si>
    <t xml:space="preserve">Cubic Fun Набір для моделювання STEM "СОНЯЧНА С…</t>
  </si>
  <si>
    <t xml:space="preserve">T4018h</t>
  </si>
  <si>
    <t xml:space="preserve">Cubic Fun Тривимірна головоломка-конструктор "К…</t>
  </si>
  <si>
    <t xml:space="preserve">L523h</t>
  </si>
  <si>
    <t xml:space="preserve">Cubic Fun Тривимірна головоломка-конструктор CI…</t>
  </si>
  <si>
    <t xml:space="preserve">L525h</t>
  </si>
  <si>
    <t xml:space="preserve">S3010h</t>
  </si>
  <si>
    <t xml:space="preserve">Cubic Fun Тривимірна головоломка-конструктор "Т…</t>
  </si>
  <si>
    <t xml:space="preserve">S3006h</t>
  </si>
  <si>
    <t xml:space="preserve">Cubic Fun Тривимірна головоломка-конструктор "Е…</t>
  </si>
  <si>
    <t xml:space="preserve">S3031h</t>
  </si>
  <si>
    <t xml:space="preserve">T4035h</t>
  </si>
  <si>
    <t xml:space="preserve">S3026h</t>
  </si>
  <si>
    <t xml:space="preserve">Cubic Fun Тривимірна головоломка-конструктор "С…</t>
  </si>
  <si>
    <t xml:space="preserve">S3015h</t>
  </si>
  <si>
    <t xml:space="preserve">Cubic Fun Тривимірна головоломка-конструктор "Б…</t>
  </si>
  <si>
    <t xml:space="preserve">L538h</t>
  </si>
  <si>
    <t xml:space="preserve">CubicFun Тривимірна головоломка-конструктор з L…</t>
  </si>
  <si>
    <t xml:space="preserve">T4005h</t>
  </si>
  <si>
    <t xml:space="preserve">C238h</t>
  </si>
  <si>
    <t xml:space="preserve">DS1079h</t>
  </si>
  <si>
    <t xml:space="preserve">Cubic Fun Тривимірна головоломка-конструктор се…</t>
  </si>
  <si>
    <t xml:space="preserve">DS0976h</t>
  </si>
  <si>
    <t xml:space="preserve">Cubic Fun Тривимірна головоломка-конструктор Na…</t>
  </si>
  <si>
    <t xml:space="preserve">T4012h</t>
  </si>
  <si>
    <t xml:space="preserve">DS0978h</t>
  </si>
  <si>
    <t xml:space="preserve">T4017h</t>
  </si>
  <si>
    <t xml:space="preserve">Cubic Fun Тривимірна головоломка-конструктор "І…</t>
  </si>
  <si>
    <t xml:space="preserve">DS1057h</t>
  </si>
  <si>
    <t xml:space="preserve">Cubic Fun Тривимірна головоломка-конструктор NA…</t>
  </si>
  <si>
    <t xml:space="preserve">T4031h</t>
  </si>
  <si>
    <t xml:space="preserve">DS0986h</t>
  </si>
  <si>
    <t xml:space="preserve">S3012h</t>
  </si>
  <si>
    <t xml:space="preserve">DS1082h</t>
  </si>
  <si>
    <t xml:space="preserve">Cubic Fun Набір для моделювання STEM "СКРЕТЧ ГЛ…</t>
  </si>
  <si>
    <t xml:space="preserve">DS0990h</t>
  </si>
  <si>
    <t xml:space="preserve">MC253h</t>
  </si>
  <si>
    <t xml:space="preserve">S3008h</t>
  </si>
  <si>
    <t xml:space="preserve">Cubic Fun Тривимірна головоломка-конструктор "П…</t>
  </si>
  <si>
    <t xml:space="preserve">C060h</t>
  </si>
  <si>
    <t xml:space="preserve">MC254h</t>
  </si>
  <si>
    <t xml:space="preserve">C044h</t>
  </si>
  <si>
    <t xml:space="preserve">T4019h</t>
  </si>
  <si>
    <t xml:space="preserve">Cubic Fun Тривимірна головоломка-конструктор "H…</t>
  </si>
  <si>
    <t xml:space="preserve">C080h</t>
  </si>
  <si>
    <t xml:space="preserve">S3009h</t>
  </si>
  <si>
    <t xml:space="preserve">DS0980h</t>
  </si>
  <si>
    <t xml:space="preserve">T4008h</t>
  </si>
  <si>
    <t xml:space="preserve">T4039h</t>
  </si>
  <si>
    <t xml:space="preserve">MC267h</t>
  </si>
  <si>
    <t xml:space="preserve">MC269h</t>
  </si>
  <si>
    <t xml:space="preserve">C242h</t>
  </si>
  <si>
    <t xml:space="preserve">Cubic Fun Тривимірна головоломка-конструктор "Н…</t>
  </si>
  <si>
    <t xml:space="preserve">DS0992h</t>
  </si>
  <si>
    <t xml:space="preserve">MC256h</t>
  </si>
  <si>
    <t xml:space="preserve">DS1059h</t>
  </si>
  <si>
    <t xml:space="preserve">C241h</t>
  </si>
  <si>
    <t xml:space="preserve">S3007h</t>
  </si>
  <si>
    <t xml:space="preserve">C094h</t>
  </si>
  <si>
    <t xml:space="preserve">DS1053h</t>
  </si>
  <si>
    <t xml:space="preserve">T4011h</t>
  </si>
  <si>
    <t xml:space="preserve">MC255h</t>
  </si>
  <si>
    <t xml:space="preserve">DS1058h</t>
  </si>
  <si>
    <t xml:space="preserve">DS1030h</t>
  </si>
  <si>
    <t xml:space="preserve">Cubic Fun 2D пазл NASA "Космічний телескоп Хаббл"</t>
  </si>
  <si>
    <t xml:space="preserve">T4032h</t>
  </si>
  <si>
    <t xml:space="preserve">Cubic Fun Тривимірна головоломка-конструктор "Р…</t>
  </si>
  <si>
    <t xml:space="preserve">DS1083h</t>
  </si>
  <si>
    <t xml:space="preserve">Cubic Fun Набір для моделювання STEM "БІНОКЛЬ"</t>
  </si>
  <si>
    <t xml:space="preserve">DS0981h</t>
  </si>
  <si>
    <t xml:space="preserve">DS1051h</t>
  </si>
  <si>
    <t xml:space="preserve">DS1052h</t>
  </si>
  <si>
    <t xml:space="preserve">DS1086h</t>
  </si>
  <si>
    <t xml:space="preserve">Cubic Fun Набір для моделювання STEM "КАТАПУЛЬТА"</t>
  </si>
  <si>
    <t xml:space="preserve">T4038h</t>
  </si>
  <si>
    <t xml:space="preserve">DS1054h</t>
  </si>
  <si>
    <t xml:space="preserve">DS1080h</t>
  </si>
  <si>
    <t xml:space="preserve">DS0991h</t>
  </si>
  <si>
    <t xml:space="preserve">DS0977h</t>
  </si>
  <si>
    <t xml:space="preserve">S3003h</t>
  </si>
  <si>
    <t xml:space="preserve">C065h</t>
  </si>
  <si>
    <t xml:space="preserve">DS0984h</t>
  </si>
  <si>
    <t xml:space="preserve">MC260h</t>
  </si>
  <si>
    <t xml:space="preserve">MC270h</t>
  </si>
  <si>
    <t xml:space="preserve">DS1011h</t>
  </si>
  <si>
    <t xml:space="preserve">Cubic Fun Тривимірна головоломка-конструктор Хо…</t>
  </si>
  <si>
    <t xml:space="preserve">MC087h</t>
  </si>
  <si>
    <t xml:space="preserve">Djeco  —  Прогноз AI vs Факт по тестовому периоду</t>
  </si>
  <si>
    <t xml:space="preserve">DJ08533</t>
  </si>
  <si>
    <t xml:space="preserve">Djeco Гра настільна "Маленький магазин"</t>
  </si>
  <si>
    <t xml:space="preserve">DJ09108</t>
  </si>
  <si>
    <t xml:space="preserve">Djeco Гра Топанімо "Ферма" (6 кубиків + 6 тварин)</t>
  </si>
  <si>
    <t xml:space="preserve">DJ08120</t>
  </si>
  <si>
    <t xml:space="preserve">Djeco Гра дитяче лото "Тварини"</t>
  </si>
  <si>
    <t xml:space="preserve">DJ09867</t>
  </si>
  <si>
    <t xml:space="preserve">Djeco Набір для творчості "М'які собаки"</t>
  </si>
  <si>
    <t xml:space="preserve">DD03766</t>
  </si>
  <si>
    <t xml:space="preserve">DJECO Чарівна ручка  з "невидимими чорнилами" і…</t>
  </si>
  <si>
    <t xml:space="preserve">DJ08165</t>
  </si>
  <si>
    <t xml:space="preserve">Djeco Гра дитяче доміно "Склади тварину"</t>
  </si>
  <si>
    <t xml:space="preserve">DJ08166</t>
  </si>
  <si>
    <t xml:space="preserve">Djeco Гра "Хто, що їсть?"</t>
  </si>
  <si>
    <t xml:space="preserve">DJ09332</t>
  </si>
  <si>
    <t xml:space="preserve">Djeco Набір для творчості "Казкова скринька"</t>
  </si>
  <si>
    <t xml:space="preserve">DJ08463</t>
  </si>
  <si>
    <t xml:space="preserve">Djeco Гра головоломка "Кразікс"</t>
  </si>
  <si>
    <t xml:space="preserve">DD03765</t>
  </si>
  <si>
    <t xml:space="preserve">DJECO Чарівна ручка з "невидимими чорнилами" і …</t>
  </si>
  <si>
    <t xml:space="preserve">DJ08550</t>
  </si>
  <si>
    <t xml:space="preserve">Djeco Настільна гра "Маленька доріжка"</t>
  </si>
  <si>
    <t xml:space="preserve">DJ09750</t>
  </si>
  <si>
    <t xml:space="preserve">Djeco Великий набір для малювання</t>
  </si>
  <si>
    <t xml:space="preserve">DJ07112</t>
  </si>
  <si>
    <t xml:space="preserve">Djeco Пазл 9х12х15 гігант "Честь та друзі"</t>
  </si>
  <si>
    <t xml:space="preserve">DJ09838</t>
  </si>
  <si>
    <t xml:space="preserve">Djeco Набір для плетіння браслетів "Яскраві бра…</t>
  </si>
  <si>
    <t xml:space="preserve">DJ08157</t>
  </si>
  <si>
    <t xml:space="preserve">Djeco Гра "Мама і Малюк"</t>
  </si>
  <si>
    <t xml:space="preserve">DJ09293</t>
  </si>
  <si>
    <t xml:space="preserve">Djeco Набір для творчості "Будиночки для тварин"</t>
  </si>
  <si>
    <t xml:space="preserve">DJ07161</t>
  </si>
  <si>
    <t xml:space="preserve">Djeco Пазл 24 гігант "Дорога"</t>
  </si>
  <si>
    <t xml:space="preserve">DJ09231</t>
  </si>
  <si>
    <t xml:space="preserve">Djeco Грим для обличчя, палітра 6 кольорів "Ніж…</t>
  </si>
  <si>
    <t xml:space="preserve">DJ09585</t>
  </si>
  <si>
    <t xml:space="preserve">Djeco Набір наліпок на тіло "Польові квіти"</t>
  </si>
  <si>
    <t xml:space="preserve">DJ09810</t>
  </si>
  <si>
    <t xml:space="preserve">Djeco Набір для творчості з дерев'яними намисти…</t>
  </si>
  <si>
    <t xml:space="preserve">DJ09230</t>
  </si>
  <si>
    <t xml:space="preserve">Djeco Грим для обличчя, палітра 6 кольорів "При…</t>
  </si>
  <si>
    <t xml:space="preserve">DJ07114</t>
  </si>
  <si>
    <t xml:space="preserve">Djeco Пазл 4х6х9 гігант "Мавпочка Остін і його …</t>
  </si>
  <si>
    <t xml:space="preserve">DJ08158</t>
  </si>
  <si>
    <t xml:space="preserve">Djeco Гра дитяче доміно "Ферма"</t>
  </si>
  <si>
    <t xml:space="preserve">DJ09064</t>
  </si>
  <si>
    <t xml:space="preserve">Djeco Художній комплект для малювання водою "Що…</t>
  </si>
  <si>
    <t xml:space="preserve">DD03767</t>
  </si>
  <si>
    <t xml:space="preserve">DJ09232</t>
  </si>
  <si>
    <t xml:space="preserve">Djeco Грим для обличчя, палітра 6 кольорів "Мет…</t>
  </si>
  <si>
    <t xml:space="preserve">DJ05117</t>
  </si>
  <si>
    <t xml:space="preserve">Djeco Гра "Побудуй замок"</t>
  </si>
  <si>
    <t xml:space="preserve">DJ09575</t>
  </si>
  <si>
    <t xml:space="preserve">Djeco Набір наліпок на тіло "Єдиноріг"</t>
  </si>
  <si>
    <t xml:space="preserve">DJ08860</t>
  </si>
  <si>
    <t xml:space="preserve">Djeco Набір пальчикових фарб (6 шт)</t>
  </si>
  <si>
    <t xml:space="preserve">DJ08932</t>
  </si>
  <si>
    <t xml:space="preserve">Djeco Набір наліпок для аплікації "Створи тварину"</t>
  </si>
  <si>
    <t xml:space="preserve">DJ08164</t>
  </si>
  <si>
    <t xml:space="preserve">Djeco Гра "Хто, де живе?"</t>
  </si>
  <si>
    <t xml:space="preserve">DJ08664</t>
  </si>
  <si>
    <t xml:space="preserve">Djeco Художній комплект колаж для найменших, 4 …</t>
  </si>
  <si>
    <t xml:space="preserve">DJ05161</t>
  </si>
  <si>
    <t xml:space="preserve">Djeco Гра "Сардини"</t>
  </si>
  <si>
    <t xml:space="preserve">DJ09863</t>
  </si>
  <si>
    <t xml:space="preserve">Djeco Художній комплект аплікація "М'які істоти"</t>
  </si>
  <si>
    <t xml:space="preserve">DJ09868</t>
  </si>
  <si>
    <t xml:space="preserve">Djeco Набір для творчості "Кучеряві тварини"</t>
  </si>
  <si>
    <t xml:space="preserve">DJ07922</t>
  </si>
  <si>
    <t xml:space="preserve">Djeco Набір Зроби сам "Космічний калейдоскоп"</t>
  </si>
  <si>
    <t xml:space="preserve">DJ08477</t>
  </si>
  <si>
    <t xml:space="preserve">Djeco Настільна гра "Кубіссімо"</t>
  </si>
  <si>
    <t xml:space="preserve">DJ05270</t>
  </si>
  <si>
    <t xml:space="preserve">Djeco Гра настільна тактика "Морський бій"</t>
  </si>
  <si>
    <t xml:space="preserve">DJ08557</t>
  </si>
  <si>
    <t xml:space="preserve">Djeco Настільна гра балансир "Пірамідки"</t>
  </si>
  <si>
    <t xml:space="preserve">DJ09015</t>
  </si>
  <si>
    <t xml:space="preserve">Djeco Набір для творчості "Фантазія"</t>
  </si>
  <si>
    <t xml:space="preserve">DJ09074</t>
  </si>
  <si>
    <t xml:space="preserve">Djeco Художній комплект для малювання водою "В …</t>
  </si>
  <si>
    <t xml:space="preserve">DJ08151</t>
  </si>
  <si>
    <t xml:space="preserve">Djeco Гра "Порахуй"</t>
  </si>
  <si>
    <t xml:space="preserve">DJ09807</t>
  </si>
  <si>
    <t xml:space="preserve">DJ09871</t>
  </si>
  <si>
    <t xml:space="preserve">Djeco Набір для творчості "Пухнасті тварини"</t>
  </si>
  <si>
    <t xml:space="preserve">DJ08451</t>
  </si>
  <si>
    <t xml:space="preserve">Djeco Настільна гра "Поліссімо"</t>
  </si>
  <si>
    <t xml:space="preserve">DD03768</t>
  </si>
  <si>
    <t xml:space="preserve">DD04805</t>
  </si>
  <si>
    <t xml:space="preserve">Djeco Парасолька "Принцеса Маргарита"</t>
  </si>
  <si>
    <t xml:space="preserve">DJ09330</t>
  </si>
  <si>
    <t xml:space="preserve">Djeco Набір для творчості "Світ квітів"</t>
  </si>
  <si>
    <t xml:space="preserve">DJ08464</t>
  </si>
  <si>
    <t xml:space="preserve">Djeco Гра головоломка "Вудікс"</t>
  </si>
  <si>
    <t xml:space="preserve">DJ08194</t>
  </si>
  <si>
    <t xml:space="preserve">Djeco Гра - пазл "Я рахую"</t>
  </si>
  <si>
    <t xml:space="preserve">DJ00026</t>
  </si>
  <si>
    <t xml:space="preserve">DJECO Набір для виготовлення намиста "Золоті бу…</t>
  </si>
  <si>
    <t xml:space="preserve">DJ08830</t>
  </si>
  <si>
    <t xml:space="preserve">Djeco Набір наліпок 160 шт "Принцеса"</t>
  </si>
  <si>
    <t xml:space="preserve">DJ09425</t>
  </si>
  <si>
    <t xml:space="preserve">Djeco Набір для творчості - мозаїка "Милі твари…</t>
  </si>
  <si>
    <t xml:space="preserve">DJ09808</t>
  </si>
  <si>
    <t xml:space="preserve">DJ08841</t>
  </si>
  <si>
    <t xml:space="preserve">Djeco Набір наліпок 160 шт "Тварини"</t>
  </si>
  <si>
    <t xml:space="preserve">DD04809</t>
  </si>
  <si>
    <t xml:space="preserve">Djeco Парасолька "Під дощем"</t>
  </si>
  <si>
    <t xml:space="preserve">DJ05208</t>
  </si>
  <si>
    <t xml:space="preserve">Djeco Гра настільна бродилка "Сачки і сходи"</t>
  </si>
  <si>
    <t xml:space="preserve">DJ08897</t>
  </si>
  <si>
    <t xml:space="preserve">Djeco Набір для творчості - мозаїка "Білочка"</t>
  </si>
  <si>
    <t xml:space="preserve">DJ05096</t>
  </si>
  <si>
    <t xml:space="preserve">Djeco Карткова гра "Містерікс"</t>
  </si>
  <si>
    <t xml:space="preserve">DJ08934</t>
  </si>
  <si>
    <t xml:space="preserve">Djeco Художній комплект з наліпками "Каламбур"</t>
  </si>
  <si>
    <t xml:space="preserve">DJ08931</t>
  </si>
  <si>
    <t xml:space="preserve">Djeco Художній комплект з наліпками "Марінс"</t>
  </si>
  <si>
    <t xml:space="preserve">DJ08542</t>
  </si>
  <si>
    <t xml:space="preserve">Djeco Гра настільна "Знайди пропажу"</t>
  </si>
  <si>
    <t xml:space="preserve">DJ05123</t>
  </si>
  <si>
    <t xml:space="preserve">Djeco Гра "Горила"</t>
  </si>
  <si>
    <t xml:space="preserve">DJ08198</t>
  </si>
  <si>
    <t xml:space="preserve">Djeco Гра настільна "Анімо Мондо"</t>
  </si>
  <si>
    <t xml:space="preserve">DJ05108</t>
  </si>
  <si>
    <t xml:space="preserve">Djeco Гра "Піполо"</t>
  </si>
  <si>
    <t xml:space="preserve">DJ08884</t>
  </si>
  <si>
    <t xml:space="preserve">Djeco Набір наліпок 160 шт "Чаювання принцес"</t>
  </si>
  <si>
    <t xml:space="preserve">DJ08571</t>
  </si>
  <si>
    <t xml:space="preserve">Djeco Гра "Пожежники"</t>
  </si>
  <si>
    <t xml:space="preserve">DJ09839</t>
  </si>
  <si>
    <t xml:space="preserve">Djeco Набір для виготовлення прикрас "Намистинки"</t>
  </si>
  <si>
    <t xml:space="preserve">DJ09522</t>
  </si>
  <si>
    <t xml:space="preserve">Djeco Набір для творчості "Райські пташки"</t>
  </si>
  <si>
    <t xml:space="preserve">DJ08162</t>
  </si>
  <si>
    <t xml:space="preserve">Djeco Гра "Протилежності"</t>
  </si>
  <si>
    <t xml:space="preserve">DJ09056</t>
  </si>
  <si>
    <t xml:space="preserve">Djeco Набір для створення колажу "Знову і знову"</t>
  </si>
  <si>
    <t xml:space="preserve">DJ09586</t>
  </si>
  <si>
    <t xml:space="preserve">Djeco Набір наліпок на тіло "Фіона"</t>
  </si>
  <si>
    <t xml:space="preserve">DJ08982</t>
  </si>
  <si>
    <t xml:space="preserve">Djeco Набір для творчості "Комахи"</t>
  </si>
  <si>
    <t xml:space="preserve">DJ09587</t>
  </si>
  <si>
    <t xml:space="preserve">Djeco Набір наліпок на тіло "Дженіс"</t>
  </si>
  <si>
    <t xml:space="preserve">DJ09066</t>
  </si>
  <si>
    <t xml:space="preserve">Djeco Художній комплект для малювання водою "У …</t>
  </si>
  <si>
    <t xml:space="preserve">DD04717</t>
  </si>
  <si>
    <t xml:space="preserve">Djeco Парасолька "Русалка"</t>
  </si>
  <si>
    <t xml:space="preserve">DJ09524</t>
  </si>
  <si>
    <t xml:space="preserve">Djeco Художній комплект малювання кольоровим пі…</t>
  </si>
  <si>
    <t xml:space="preserve">DJ05098</t>
  </si>
  <si>
    <t xml:space="preserve">Djeco Гра "Жахливий Бу"</t>
  </si>
  <si>
    <t xml:space="preserve">DJ05153</t>
  </si>
  <si>
    <t xml:space="preserve">Djeco Гра "Занімалка"</t>
  </si>
  <si>
    <t xml:space="preserve">DJ09503</t>
  </si>
  <si>
    <t xml:space="preserve">Djeco Художній комплект малювання блискітками "…</t>
  </si>
  <si>
    <t xml:space="preserve">DJ09584</t>
  </si>
  <si>
    <t xml:space="preserve">Djeco Набір наліпок на тіло "Пірати"</t>
  </si>
  <si>
    <t xml:space="preserve">DJ05145</t>
  </si>
  <si>
    <t xml:space="preserve">Djeco Гра "Збери баранчиків"</t>
  </si>
  <si>
    <t xml:space="preserve">DJ08800</t>
  </si>
  <si>
    <t xml:space="preserve">Djeco Набір фломастери - пензлі двосторонні "Кл…</t>
  </si>
  <si>
    <t xml:space="preserve">DJ09869</t>
  </si>
  <si>
    <t xml:space="preserve">Djeco Художній комплект колаж "Весела піна"</t>
  </si>
  <si>
    <t xml:space="preserve">DJ08842</t>
  </si>
  <si>
    <t xml:space="preserve">Djeco Набір наліпок 160 шт "Маленькі друзі"</t>
  </si>
  <si>
    <t xml:space="preserve">DJ09809</t>
  </si>
  <si>
    <t xml:space="preserve">DJ05136</t>
  </si>
  <si>
    <t xml:space="preserve">Djeco Гра "Динозаври"</t>
  </si>
  <si>
    <t xml:space="preserve">DJ08186</t>
  </si>
  <si>
    <t xml:space="preserve">Djeco Тріо - пазл "Одягни звірятко"</t>
  </si>
  <si>
    <t xml:space="preserve">DJ09075</t>
  </si>
  <si>
    <t xml:space="preserve">DJ01612</t>
  </si>
  <si>
    <t xml:space="preserve">Djeco Настільна гра "Рахуй з пінгвінами"</t>
  </si>
  <si>
    <t xml:space="preserve">DJ08132</t>
  </si>
  <si>
    <t xml:space="preserve">Djeco Набір настільних ігор "Динозаври"</t>
  </si>
  <si>
    <t xml:space="preserve">DJ08590</t>
  </si>
  <si>
    <t xml:space="preserve">DJECO Настільна гра "Архілогіка"</t>
  </si>
  <si>
    <t xml:space="preserve">DJ09381</t>
  </si>
  <si>
    <t xml:space="preserve">Djeco Художній комплект для малювання "Балерина"</t>
  </si>
  <si>
    <t xml:space="preserve">DJ09409</t>
  </si>
  <si>
    <t xml:space="preserve">DJ09864</t>
  </si>
  <si>
    <t xml:space="preserve">Djeco Художній комплект аплікація "Солодка прир…</t>
  </si>
  <si>
    <t xml:space="preserve">DJ03085</t>
  </si>
  <si>
    <t xml:space="preserve">Djeco Магнітна гра "Тварини"</t>
  </si>
  <si>
    <t xml:space="preserve">DJ09294</t>
  </si>
  <si>
    <t xml:space="preserve">Djeco Набір для творчості "Підводний світ"</t>
  </si>
  <si>
    <t xml:space="preserve">DJ09596</t>
  </si>
  <si>
    <t xml:space="preserve">Djeco Набір наліпок на тіло з райдужним перелив…</t>
  </si>
  <si>
    <t xml:space="preserve">DJ09615</t>
  </si>
  <si>
    <t xml:space="preserve">Djeco Набір наліпок на тіло "Яскраві пташки"</t>
  </si>
  <si>
    <t xml:space="preserve">DJ08678</t>
  </si>
  <si>
    <t xml:space="preserve">DJ07901</t>
  </si>
  <si>
    <t xml:space="preserve">Djeco Набір головних прикрас з мозаїкою Зроби с…</t>
  </si>
  <si>
    <t xml:space="preserve">DD03758</t>
  </si>
  <si>
    <t xml:space="preserve">DJECO Набір пастельних гелевих ручок 6 шт.</t>
  </si>
  <si>
    <t xml:space="preserve">DJ07900</t>
  </si>
  <si>
    <t xml:space="preserve">Djeco Набір масок з мозаїкою Зроби сам "Тварини"</t>
  </si>
  <si>
    <t xml:space="preserve">DJ08802</t>
  </si>
  <si>
    <t xml:space="preserve">Djeco Набір фломастери - пензлі двосторонні "Ді…</t>
  </si>
  <si>
    <t xml:space="preserve">DJ09837</t>
  </si>
  <si>
    <t xml:space="preserve">DJECO Набір для виготовлення обручів "Скарби мрій"</t>
  </si>
  <si>
    <t xml:space="preserve">DJ09579</t>
  </si>
  <si>
    <t xml:space="preserve">Djeco Набір наліпок на тіло "Забавні маленькі к…</t>
  </si>
  <si>
    <t xml:space="preserve">DJ05218</t>
  </si>
  <si>
    <t xml:space="preserve">Djeco Набір класичних ігор 12в1</t>
  </si>
  <si>
    <t xml:space="preserve">DJ09331</t>
  </si>
  <si>
    <t xml:space="preserve">Djeco Набір для творчості "Світ динозаврів"</t>
  </si>
  <si>
    <t xml:space="preserve">DJ09498</t>
  </si>
  <si>
    <t xml:space="preserve">Djeco Набір для створення аксесуарів для волосся</t>
  </si>
  <si>
    <t xml:space="preserve">DJ03086</t>
  </si>
  <si>
    <t xml:space="preserve">Djeco Магнітна гра "Професії"</t>
  </si>
  <si>
    <t xml:space="preserve">DJ09063</t>
  </si>
  <si>
    <t xml:space="preserve">DJ05120</t>
  </si>
  <si>
    <t xml:space="preserve">Djeco Гра "Тіп Топ Хлоп"</t>
  </si>
  <si>
    <t xml:space="preserve">DJ08117</t>
  </si>
  <si>
    <t xml:space="preserve">Djeco Тріо - пазл "Історії"</t>
  </si>
  <si>
    <t xml:space="preserve">DJ07955</t>
  </si>
  <si>
    <t xml:space="preserve">Djeco Набір для творчості "Кітті - дзвіночок"</t>
  </si>
  <si>
    <t xml:space="preserve">DD03754</t>
  </si>
  <si>
    <t xml:space="preserve">DJECO Набір пастельних міні-маркерів 6 шт.</t>
  </si>
  <si>
    <t xml:space="preserve">DJ08510</t>
  </si>
  <si>
    <t xml:space="preserve">Djeco Кубики для малюків "Веселка"</t>
  </si>
  <si>
    <t xml:space="preserve">DJ08997</t>
  </si>
  <si>
    <t xml:space="preserve">Djeco Набір для творчості "Світ для створення т…</t>
  </si>
  <si>
    <t xml:space="preserve">DJ09065</t>
  </si>
  <si>
    <t xml:space="preserve">DJ09272</t>
  </si>
  <si>
    <t xml:space="preserve">DJECO Набір наліпок "Сад"</t>
  </si>
  <si>
    <t xml:space="preserve">DJ05169</t>
  </si>
  <si>
    <t xml:space="preserve">Djeco Гра "Гримаси"</t>
  </si>
  <si>
    <t xml:space="preserve">DJ06970</t>
  </si>
  <si>
    <t xml:space="preserve">Djeco Карткова гра "Міні Містігрі"</t>
  </si>
  <si>
    <t xml:space="preserve">DJ07162</t>
  </si>
  <si>
    <t xml:space="preserve">Djeco Пазл 21 гігант "Автотраса"</t>
  </si>
  <si>
    <t xml:space="preserve">DJ09508</t>
  </si>
  <si>
    <t xml:space="preserve">DD04804</t>
  </si>
  <si>
    <t xml:space="preserve">Djeco Парасолька "Квіти та пташки"</t>
  </si>
  <si>
    <t xml:space="preserve">DJ09591</t>
  </si>
  <si>
    <t xml:space="preserve">Djeco Набір наліпок на тіло "Щаслива весна"</t>
  </si>
  <si>
    <t xml:space="preserve">DJ09348</t>
  </si>
  <si>
    <t xml:space="preserve">Djeco Набір для творчості "Проти світла"</t>
  </si>
  <si>
    <t xml:space="preserve">DJ09784</t>
  </si>
  <si>
    <t xml:space="preserve">Djeco Набір фарб "Палітра художника"</t>
  </si>
  <si>
    <t xml:space="preserve">DJ09436</t>
  </si>
  <si>
    <t xml:space="preserve">Djeco Набір для творчості "Сад"</t>
  </si>
  <si>
    <t xml:space="preserve">DJ09422</t>
  </si>
  <si>
    <t xml:space="preserve">Djeco Набір для творчості - мозаїка "Глибоко в …</t>
  </si>
  <si>
    <t xml:space="preserve">DJ09590</t>
  </si>
  <si>
    <t xml:space="preserve">Djeco Набір наліпок на тіло "Космос"</t>
  </si>
  <si>
    <t xml:space="preserve">DD04727</t>
  </si>
  <si>
    <t xml:space="preserve">Djeco Парасолька "Море"</t>
  </si>
  <si>
    <t xml:space="preserve">DJ00025</t>
  </si>
  <si>
    <t xml:space="preserve">DJECO Набір для виготовлення намиста "Сріблясті…</t>
  </si>
  <si>
    <t xml:space="preserve">DJ05104</t>
  </si>
  <si>
    <t xml:space="preserve">Djeco Гра "БатаВаф"</t>
  </si>
  <si>
    <t xml:space="preserve">DJ05092</t>
  </si>
  <si>
    <t xml:space="preserve">Djeco Карткова гра "Весела плутанина"</t>
  </si>
  <si>
    <t xml:space="preserve">DJ09507</t>
  </si>
  <si>
    <t xml:space="preserve">DJ06103</t>
  </si>
  <si>
    <t xml:space="preserve">Djeco Кубики - пірамідка "Милі звірята"</t>
  </si>
  <si>
    <t xml:space="preserve">DD04728</t>
  </si>
  <si>
    <t xml:space="preserve">Djeco Парасолька "Кошенята"</t>
  </si>
  <si>
    <t xml:space="preserve">DJ08797</t>
  </si>
  <si>
    <t xml:space="preserve">Djeco Набір для малювання "Кольорова коробка"</t>
  </si>
  <si>
    <t xml:space="preserve">DJ00061</t>
  </si>
  <si>
    <t xml:space="preserve">DJECO Художній комплект для малювання "Свійські…</t>
  </si>
  <si>
    <t xml:space="preserve">DJ08417</t>
  </si>
  <si>
    <t xml:space="preserve">Djeco Гра "Блеф пірата"</t>
  </si>
  <si>
    <t xml:space="preserve">DJ01698</t>
  </si>
  <si>
    <t xml:space="preserve">Djeco Набір ігор 4в1 "Лудопарк"</t>
  </si>
  <si>
    <t xml:space="preserve">DJ09888</t>
  </si>
  <si>
    <t xml:space="preserve">Djeco Набір для творчості "Охайно, але весело"</t>
  </si>
  <si>
    <t xml:space="preserve">DJ08885</t>
  </si>
  <si>
    <t xml:space="preserve">Djeco Набір наліпок 160 шт "Русалки"</t>
  </si>
  <si>
    <t xml:space="preserve">DD03757</t>
  </si>
  <si>
    <t xml:space="preserve">DJECO Набір кольорових міні-маркерів 6 шт.</t>
  </si>
  <si>
    <t xml:space="preserve">DJ03087</t>
  </si>
  <si>
    <t xml:space="preserve">Djeco Магнітна гра "Портрети"</t>
  </si>
  <si>
    <t xml:space="preserve">DJ09071</t>
  </si>
  <si>
    <t xml:space="preserve">Djeco Набір для творчості з наліпками, що перем…</t>
  </si>
  <si>
    <t xml:space="preserve">DJ08527</t>
  </si>
  <si>
    <t xml:space="preserve">Djeco Настільна гра "Рапідо Метео"</t>
  </si>
  <si>
    <t xml:space="preserve">DJ08537</t>
  </si>
  <si>
    <t xml:space="preserve">Djeco Лото "Магазин"</t>
  </si>
  <si>
    <t xml:space="preserve">DJ09612</t>
  </si>
  <si>
    <t xml:space="preserve">Djeco Набір наліпок на тіло "Ласощі"</t>
  </si>
  <si>
    <t xml:space="preserve">DD04725</t>
  </si>
  <si>
    <t xml:space="preserve">Djeco Парасолька "Лісові друзі"</t>
  </si>
  <si>
    <t xml:space="preserve">DJ08535</t>
  </si>
  <si>
    <t xml:space="preserve">Djeco Гра "Катуді"</t>
  </si>
  <si>
    <t xml:space="preserve">DD04808</t>
  </si>
  <si>
    <t xml:space="preserve">Djeco Парасолька "Жабенята"</t>
  </si>
  <si>
    <t xml:space="preserve">DJ08953</t>
  </si>
  <si>
    <t xml:space="preserve">Djeco Набір з переміщуваними наліпками "Пригоди…</t>
  </si>
  <si>
    <t xml:space="preserve">DJ09437</t>
  </si>
  <si>
    <t xml:space="preserve">Djeco Набір для творчості "Ніч"</t>
  </si>
  <si>
    <t xml:space="preserve">DD04671</t>
  </si>
  <si>
    <t xml:space="preserve">Djeco Дощовик "Лісові друзі"</t>
  </si>
  <si>
    <t xml:space="preserve">DJ09072</t>
  </si>
  <si>
    <t xml:space="preserve">Djeco Набір з переміщуваними наклейками "Будинок"</t>
  </si>
  <si>
    <t xml:space="preserve">DJ00017</t>
  </si>
  <si>
    <t xml:space="preserve">Djeco Набір для виготовлення браслетів дружби "…</t>
  </si>
  <si>
    <t xml:space="preserve">DJ06481</t>
  </si>
  <si>
    <t xml:space="preserve">Djeco Гра "Дзеркальні картинки"</t>
  </si>
  <si>
    <t xml:space="preserve">DJ09073</t>
  </si>
  <si>
    <t xml:space="preserve">DJ09463</t>
  </si>
  <si>
    <t xml:space="preserve">Djeco Художні патчі металізовані "Динозаври"</t>
  </si>
  <si>
    <t xml:space="preserve">DD04670</t>
  </si>
  <si>
    <t xml:space="preserve">Djeco Дощовик "Кошенята"</t>
  </si>
  <si>
    <t xml:space="preserve">DJ05641</t>
  </si>
  <si>
    <t xml:space="preserve">Djeco Конструктор Zig &amp; Go - 27 дет</t>
  </si>
  <si>
    <t xml:space="preserve">DD04681</t>
  </si>
  <si>
    <t xml:space="preserve">Djeco Дощовик "Квіти і пташки"</t>
  </si>
  <si>
    <t xml:space="preserve">DJ08577</t>
  </si>
  <si>
    <t xml:space="preserve">Djeco Настільна гра "Паніка в джунглях"</t>
  </si>
  <si>
    <t xml:space="preserve">DJ08661</t>
  </si>
  <si>
    <t xml:space="preserve">DJ05642</t>
  </si>
  <si>
    <t xml:space="preserve">Djeco Конструктор Zig &amp; Go - 25 дет</t>
  </si>
  <si>
    <t xml:space="preserve">DJ09499</t>
  </si>
  <si>
    <t xml:space="preserve">Djeco Набір для створення каблучок</t>
  </si>
  <si>
    <t xml:space="preserve">DJ00010</t>
  </si>
  <si>
    <t xml:space="preserve">DJ09268</t>
  </si>
  <si>
    <t xml:space="preserve">Djeco Набір наліпок "Екзотика"</t>
  </si>
  <si>
    <t xml:space="preserve">DJ00016</t>
  </si>
  <si>
    <t xml:space="preserve">DJ08129</t>
  </si>
  <si>
    <t xml:space="preserve">Djeco Гра тактильне лото "Тварини"</t>
  </si>
  <si>
    <t xml:space="preserve">DJ09006</t>
  </si>
  <si>
    <t xml:space="preserve">Djeco Набір із 6 різнокольорових воскових олівців</t>
  </si>
  <si>
    <t xml:space="preserve">DD04673</t>
  </si>
  <si>
    <t xml:space="preserve">Djeco Дощовик "Черепашки"</t>
  </si>
  <si>
    <t xml:space="preserve">DJ00014</t>
  </si>
  <si>
    <t xml:space="preserve">DJ08540</t>
  </si>
  <si>
    <t xml:space="preserve">Djeco Настільна гра "Логічний фініш"</t>
  </si>
  <si>
    <t xml:space="preserve">DJ01482</t>
  </si>
  <si>
    <t xml:space="preserve">Djeco Тришаровий дерев'яний пазл "Ферма"</t>
  </si>
  <si>
    <t xml:space="preserve">DJ09707</t>
  </si>
  <si>
    <t xml:space="preserve">Djeco Набір для скретчингу "Вишукані сукні"</t>
  </si>
  <si>
    <t xml:space="preserve">DJ08505</t>
  </si>
  <si>
    <t xml:space="preserve">Djeco Пірамідка Кумедні кубики "Мої друзі"</t>
  </si>
  <si>
    <t xml:space="preserve">DJ08966</t>
  </si>
  <si>
    <t xml:space="preserve">Djeco Набір для творчості зі штампами "Тварини …</t>
  </si>
  <si>
    <t xml:space="preserve">DJ09500</t>
  </si>
  <si>
    <t xml:space="preserve">DJ09897</t>
  </si>
  <si>
    <t xml:space="preserve">Djeco Набір для розфарбовування "Сімейка лисиць"</t>
  </si>
  <si>
    <t xml:space="preserve">DJ06971</t>
  </si>
  <si>
    <t xml:space="preserve">Djeco Карткова гра "Мелі Мело"</t>
  </si>
  <si>
    <t xml:space="preserve">DJ08454</t>
  </si>
  <si>
    <t xml:space="preserve">Djeco Гра настільна Балансування "Тотем зен"</t>
  </si>
  <si>
    <t xml:space="preserve">DJ09373</t>
  </si>
  <si>
    <t xml:space="preserve">DJECO Художній комплект для малювання "Пустеля"</t>
  </si>
  <si>
    <t xml:space="preserve">DJ08443</t>
  </si>
  <si>
    <t xml:space="preserve">Djeco Гра "Pixel Tamgram"</t>
  </si>
  <si>
    <t xml:space="preserve">DJ07282</t>
  </si>
  <si>
    <t xml:space="preserve">Djeco Пазл 24 "Панда Лео"</t>
  </si>
  <si>
    <t xml:space="preserve">DJ09737</t>
  </si>
  <si>
    <t xml:space="preserve">Djeco Набір скретч - наліпок "Метал"</t>
  </si>
  <si>
    <t xml:space="preserve">DJ06433</t>
  </si>
  <si>
    <t xml:space="preserve">Djeco Набір дерев'яних геометричних фігур "Ze B…</t>
  </si>
  <si>
    <t xml:space="preserve">DD03725</t>
  </si>
  <si>
    <t xml:space="preserve">DJECO Набір кольорових міні-олівців 10 шт.</t>
  </si>
  <si>
    <t xml:space="preserve">DJ05172</t>
  </si>
  <si>
    <t xml:space="preserve">Djeco Гра "Атлетика"</t>
  </si>
  <si>
    <t xml:space="preserve">DJ05180</t>
  </si>
  <si>
    <t xml:space="preserve">Djeco Гра "Лісові пригоди"</t>
  </si>
  <si>
    <t xml:space="preserve">DJ07906</t>
  </si>
  <si>
    <t xml:space="preserve">Djeco Набір Зроби сам "Скринька"</t>
  </si>
  <si>
    <t xml:space="preserve">DJ08886</t>
  </si>
  <si>
    <t xml:space="preserve">Djeco Набір наліпок 160 шт "Лицарі"</t>
  </si>
  <si>
    <t xml:space="preserve">DJ09055</t>
  </si>
  <si>
    <t xml:space="preserve">Djeco Набір для створення колажу "Обійми"</t>
  </si>
  <si>
    <t xml:space="preserve">DJ09312</t>
  </si>
  <si>
    <t xml:space="preserve">Djeco Набір для творчості Фабрика мистецтва "Ді…</t>
  </si>
  <si>
    <t xml:space="preserve">DJ01693</t>
  </si>
  <si>
    <t xml:space="preserve">Djeco Мозаїка "Моsa Boo"</t>
  </si>
  <si>
    <t xml:space="preserve">DJ08168</t>
  </si>
  <si>
    <t xml:space="preserve">Djeco Гра - дитяче доміно "Один, Два, Три"</t>
  </si>
  <si>
    <t xml:space="preserve">DJ07241</t>
  </si>
  <si>
    <t xml:space="preserve">Djeco Пазл 54 "Корабель Барбадосу"</t>
  </si>
  <si>
    <t xml:space="preserve">DJ07956</t>
  </si>
  <si>
    <t xml:space="preserve">Djeco Набір для творчості "Зоряний передзвін"</t>
  </si>
  <si>
    <t xml:space="preserve">DJ08121</t>
  </si>
  <si>
    <t xml:space="preserve">Djeco Гра дитяче лото "Будинок"</t>
  </si>
  <si>
    <t xml:space="preserve">DJ08538</t>
  </si>
  <si>
    <t xml:space="preserve">Djeco Гра "Мемо Дінго"</t>
  </si>
  <si>
    <t xml:space="preserve">DJ08570</t>
  </si>
  <si>
    <t xml:space="preserve">Djeco Гра "Логіка підземелля"</t>
  </si>
  <si>
    <t xml:space="preserve">DJ09509</t>
  </si>
  <si>
    <t xml:space="preserve">Djeco Художній комплект малювання кольоровими б…</t>
  </si>
  <si>
    <t xml:space="preserve">DJ07015</t>
  </si>
  <si>
    <t xml:space="preserve">Djeco Пазл "День ведмедика"</t>
  </si>
  <si>
    <t xml:space="preserve">DJ08952</t>
  </si>
  <si>
    <t xml:space="preserve">DJ05095</t>
  </si>
  <si>
    <t xml:space="preserve">Djeco Карткова гра "Мотамо"</t>
  </si>
  <si>
    <t xml:space="preserve">DJ05099</t>
  </si>
  <si>
    <t xml:space="preserve">Djeco Гра "Найкращі собаки"</t>
  </si>
  <si>
    <t xml:space="preserve">DJ05176</t>
  </si>
  <si>
    <t xml:space="preserve">Djeco Гра "Додо"</t>
  </si>
  <si>
    <t xml:space="preserve">DJ08184</t>
  </si>
  <si>
    <t xml:space="preserve">Djeco Розвиваюча гра "Мемо Маленькі друзі"</t>
  </si>
  <si>
    <t xml:space="preserve">DJ08358</t>
  </si>
  <si>
    <t xml:space="preserve">Djeco Гра настільна "Quantitix"</t>
  </si>
  <si>
    <t xml:space="preserve">DJ08526</t>
  </si>
  <si>
    <t xml:space="preserve">Djeco Настільна гра "Шкарпетковий монстр"</t>
  </si>
  <si>
    <t xml:space="preserve">DJ09460</t>
  </si>
  <si>
    <t xml:space="preserve">Djeco Художні патчі металізовані "Мелодії"</t>
  </si>
  <si>
    <t xml:space="preserve">DJ09462</t>
  </si>
  <si>
    <t xml:space="preserve">Djeco Художні патчі металізовані "Космос"</t>
  </si>
  <si>
    <t xml:space="preserve">DJ09467</t>
  </si>
  <si>
    <t xml:space="preserve">Djeco Художні патчі з вельветом "Легкість"</t>
  </si>
  <si>
    <t xml:space="preserve">DJ02093</t>
  </si>
  <si>
    <t xml:space="preserve">Djeco Ігровий набір для свята "Vroom"</t>
  </si>
  <si>
    <t xml:space="preserve">DJ04785</t>
  </si>
  <si>
    <t xml:space="preserve">Djeco Набір паперових запрошень "Супергерої"</t>
  </si>
  <si>
    <t xml:space="preserve">DJ05101</t>
  </si>
  <si>
    <t xml:space="preserve">Djeco Гра "Міні сім'я"</t>
  </si>
  <si>
    <t xml:space="preserve">DJ07970</t>
  </si>
  <si>
    <t xml:space="preserve">Djeco Набір Зроби сам "Блокнотики"</t>
  </si>
  <si>
    <t xml:space="preserve">DJ09320</t>
  </si>
  <si>
    <t xml:space="preserve">Djeco Набір для творчості "Брошка Bunny Girl Fa…</t>
  </si>
  <si>
    <t xml:space="preserve">DJ09465</t>
  </si>
  <si>
    <t xml:space="preserve">Djeco Художні патчі з блискітками "Пелюстки"</t>
  </si>
  <si>
    <t xml:space="preserve">DJ09736</t>
  </si>
  <si>
    <t xml:space="preserve">Djeco Набір скретч - наліпок "Діамант"</t>
  </si>
  <si>
    <t xml:space="preserve">DJ01258</t>
  </si>
  <si>
    <t xml:space="preserve">Djeco Пазл дерев'яний складовий "Кроко та друзі"</t>
  </si>
  <si>
    <t xml:space="preserve">DJ02091</t>
  </si>
  <si>
    <t xml:space="preserve">Djeco Ігровий набір для свята "Привіт Хен"</t>
  </si>
  <si>
    <t xml:space="preserve">DJ05181</t>
  </si>
  <si>
    <t xml:space="preserve">Djeco Гра настільна "Божевільні качки"</t>
  </si>
  <si>
    <t xml:space="preserve">DJ06646</t>
  </si>
  <si>
    <t xml:space="preserve">Djeco Дерев'яна гра аплікація з молоточком "Роб…</t>
  </si>
  <si>
    <t xml:space="preserve">DJ07205</t>
  </si>
  <si>
    <t xml:space="preserve">Djeco Пазл 24 "Корівка Му"</t>
  </si>
  <si>
    <t xml:space="preserve">DJ08597</t>
  </si>
  <si>
    <t xml:space="preserve">Djeco Гра "Космічний кіт"</t>
  </si>
  <si>
    <t xml:space="preserve">DJ09314</t>
  </si>
  <si>
    <t xml:space="preserve">Djeco Набір для творчості Фабрика мистецтва "На…</t>
  </si>
  <si>
    <t xml:space="preserve">DJ09470</t>
  </si>
  <si>
    <t xml:space="preserve">Djeco Художні патчі з блискітками "Солодощі"</t>
  </si>
  <si>
    <t xml:space="preserve">DJ09513</t>
  </si>
  <si>
    <t xml:space="preserve">Djeco Художній комплект "Чарівність"</t>
  </si>
  <si>
    <t xml:space="preserve">DJ01669</t>
  </si>
  <si>
    <t xml:space="preserve">Djeco Розвиваюча гра "З'єднай тваринок"</t>
  </si>
  <si>
    <t xml:space="preserve">DJ02096</t>
  </si>
  <si>
    <t xml:space="preserve">Djeco Ігровий набір для свята "Вечірка принцес"</t>
  </si>
  <si>
    <t xml:space="preserve">DJ07016</t>
  </si>
  <si>
    <t xml:space="preserve">Djeco Пазл "Рік ведмедика"</t>
  </si>
  <si>
    <t xml:space="preserve">DJ07246</t>
  </si>
  <si>
    <t xml:space="preserve">Djeco Пазл 54 "Казковий замок"</t>
  </si>
  <si>
    <t xml:space="preserve">DJ07256</t>
  </si>
  <si>
    <t xml:space="preserve">Djeco Пазл 54 "Лицар і Дракон"</t>
  </si>
  <si>
    <t xml:space="preserve">DJ08630</t>
  </si>
  <si>
    <t xml:space="preserve">DJ08633</t>
  </si>
  <si>
    <t xml:space="preserve">DJ09102</t>
  </si>
  <si>
    <t xml:space="preserve">Djeco Гра "Кубанімо"</t>
  </si>
  <si>
    <t xml:space="preserve">DJ09265</t>
  </si>
  <si>
    <t xml:space="preserve">Djeco Набір наліпок "Галактика"</t>
  </si>
  <si>
    <t xml:space="preserve">DJ09311</t>
  </si>
  <si>
    <t xml:space="preserve">Djeco Набір для творчості Фабрика мистецтва "Ко…</t>
  </si>
  <si>
    <t xml:space="preserve">DJ09466</t>
  </si>
  <si>
    <t xml:space="preserve">Djeco Художні патчі з блискітками "Океан"</t>
  </si>
  <si>
    <t xml:space="preserve">DJ09624</t>
  </si>
  <si>
    <t xml:space="preserve">Djeco Художній комплект для малювання "Забавні …</t>
  </si>
  <si>
    <t xml:space="preserve">DJ02077</t>
  </si>
  <si>
    <t xml:space="preserve">Djeco Набір шапочок для свята "Анімо Ріголо"</t>
  </si>
  <si>
    <t xml:space="preserve">DJ02079</t>
  </si>
  <si>
    <t xml:space="preserve">Djeco Набір масок для свята "Анімо Ріголо"</t>
  </si>
  <si>
    <t xml:space="preserve">DJ02095</t>
  </si>
  <si>
    <t xml:space="preserve">Djeco Ігровий набір для свята "Піратська вечірка"</t>
  </si>
  <si>
    <t xml:space="preserve">DJ04781</t>
  </si>
  <si>
    <t xml:space="preserve">Djeco Набір паперових запрошень "Тварини"</t>
  </si>
  <si>
    <t xml:space="preserve">DJ05640</t>
  </si>
  <si>
    <t xml:space="preserve">Djeco Конструктор Zig &amp; Go - 28 дет</t>
  </si>
  <si>
    <t xml:space="preserve">DJ09210</t>
  </si>
  <si>
    <t xml:space="preserve">Djeco Набір наліпок для обличчя "Птахи"</t>
  </si>
  <si>
    <t xml:space="preserve">DJ09461</t>
  </si>
  <si>
    <t xml:space="preserve">Djeco Художні патчі металізовані "Природа"</t>
  </si>
  <si>
    <t xml:space="preserve">DJ09514</t>
  </si>
  <si>
    <t xml:space="preserve">Djeco Художній комплект "Світлячки"</t>
  </si>
  <si>
    <t xml:space="preserve">DJ01666</t>
  </si>
  <si>
    <t xml:space="preserve">Djeco Розвиваюча гра "Ремінці"</t>
  </si>
  <si>
    <t xml:space="preserve">DJ06432</t>
  </si>
  <si>
    <t xml:space="preserve">Djeco Дерев'яний конструктор "Геонімо"</t>
  </si>
  <si>
    <t xml:space="preserve">DJ08111</t>
  </si>
  <si>
    <t xml:space="preserve">Djeco Гра дитяче доміно "Кольори тварин"</t>
  </si>
  <si>
    <t xml:space="preserve">DJ08156</t>
  </si>
  <si>
    <t xml:space="preserve">Djeco Гра "Хованки"</t>
  </si>
  <si>
    <t xml:space="preserve">DJ08507</t>
  </si>
  <si>
    <t xml:space="preserve">Djeco Пірамідка "Лісові мешканці"</t>
  </si>
  <si>
    <t xml:space="preserve">DJ09468</t>
  </si>
  <si>
    <t xml:space="preserve">Djeco Художні патчі з вельветом "Прекрасні діви"</t>
  </si>
  <si>
    <t xml:space="preserve">DJ01663</t>
  </si>
  <si>
    <t xml:space="preserve">Djeco Розвиваюча гра "Застібки"</t>
  </si>
  <si>
    <t xml:space="preserve">DJ08115</t>
  </si>
  <si>
    <t xml:space="preserve">Djeco Гра дитяче доміно "Веселі тваринки"</t>
  </si>
  <si>
    <t xml:space="preserve">DJ08135</t>
  </si>
  <si>
    <t xml:space="preserve">Djeco Гра тактильне лото "Ферма"</t>
  </si>
  <si>
    <t xml:space="preserve">Infantino  —  Прогноз AI vs Факт по тестовому периоду</t>
  </si>
  <si>
    <t xml:space="preserve">306161I</t>
  </si>
  <si>
    <t xml:space="preserve">Infantino Розвиваюча іграшка "Трикутник для акт…</t>
  </si>
  <si>
    <t xml:space="preserve">216314_I</t>
  </si>
  <si>
    <t xml:space="preserve">Infantino Прорізувач брязкальце "Квітка"</t>
  </si>
  <si>
    <t xml:space="preserve">005362I</t>
  </si>
  <si>
    <t xml:space="preserve">Infantino Навісна книга з прорізувачем "Тварини"</t>
  </si>
  <si>
    <t xml:space="preserve">216429I</t>
  </si>
  <si>
    <t xml:space="preserve">Infantino Прорізувач для зубів з вібрацією "Пол…</t>
  </si>
  <si>
    <t xml:space="preserve">216267I</t>
  </si>
  <si>
    <t xml:space="preserve">Infantino Іграшка "Друже мавпеня"</t>
  </si>
  <si>
    <t xml:space="preserve">206105I</t>
  </si>
  <si>
    <t xml:space="preserve">Infantino Прорізувач для зубів з водою, блакитний</t>
  </si>
  <si>
    <t xml:space="preserve">304889I</t>
  </si>
  <si>
    <t xml:space="preserve">Infantino Брязкальце з прорізувачем "Містер Краб"</t>
  </si>
  <si>
    <t xml:space="preserve">216569</t>
  </si>
  <si>
    <t xml:space="preserve">Infantino Розвиваюче гнучке брязкальце "Кусь-кусь"</t>
  </si>
  <si>
    <t xml:space="preserve">305031</t>
  </si>
  <si>
    <t xml:space="preserve">Infantino Сенсорний набір іграшок для ванни "У …</t>
  </si>
  <si>
    <t xml:space="preserve">206688I</t>
  </si>
  <si>
    <t xml:space="preserve">Infantino Набір текстурних м'ячиків "Яскраві м'…</t>
  </si>
  <si>
    <t xml:space="preserve">305079</t>
  </si>
  <si>
    <t xml:space="preserve">Infantino Іграшка для купання "Утя"</t>
  </si>
  <si>
    <t xml:space="preserve">316329</t>
  </si>
  <si>
    <t xml:space="preserve">Infantino Іграшка з прорізувачем "Пінгвік"</t>
  </si>
  <si>
    <t xml:space="preserve">206301I</t>
  </si>
  <si>
    <t xml:space="preserve">Infantino Прорізувач для зубів з водою, рожевий</t>
  </si>
  <si>
    <t xml:space="preserve">216279I</t>
  </si>
  <si>
    <t xml:space="preserve">Infantino Іграшка брязкальце "Черепаха"</t>
  </si>
  <si>
    <t xml:space="preserve">304890I</t>
  </si>
  <si>
    <t xml:space="preserve">Infantino Брязкальце з прорізувачем "Міс Баг"</t>
  </si>
  <si>
    <t xml:space="preserve">216216I</t>
  </si>
  <si>
    <t xml:space="preserve">Infantino Прорізувач текстурний для зубів "Морква"</t>
  </si>
  <si>
    <t xml:space="preserve">216273</t>
  </si>
  <si>
    <t xml:space="preserve">Infantino Прорізувач для зубів "Левеня з червон…</t>
  </si>
  <si>
    <t xml:space="preserve">216271I</t>
  </si>
  <si>
    <t xml:space="preserve">Infantino Розвиваюча іграшка "Пірамідка"</t>
  </si>
  <si>
    <t xml:space="preserve">306912I</t>
  </si>
  <si>
    <t xml:space="preserve">Infantino Розвиваюча іграшка сортер "Джамбо"</t>
  </si>
  <si>
    <t xml:space="preserve">216276</t>
  </si>
  <si>
    <t xml:space="preserve">Infantino Прорізувач для зубів з водою "Жучок т…</t>
  </si>
  <si>
    <t xml:space="preserve">316188I</t>
  </si>
  <si>
    <t xml:space="preserve">Infantino Іграшка навісна "Морська черепашка"</t>
  </si>
  <si>
    <t xml:space="preserve">206893I</t>
  </si>
  <si>
    <t xml:space="preserve">Infantino Шкарпетки брязкальця "Зебра та тигр"</t>
  </si>
  <si>
    <t xml:space="preserve">306307I</t>
  </si>
  <si>
    <t xml:space="preserve">Infantino Розвиваюча іграшка "FLIP &amp; PEEK" ціка…</t>
  </si>
  <si>
    <t xml:space="preserve">212017I</t>
  </si>
  <si>
    <t xml:space="preserve">Infantino Розвиваюча іграшка "Діджей Панда"</t>
  </si>
  <si>
    <t xml:space="preserve">216571</t>
  </si>
  <si>
    <t xml:space="preserve">Infantino Розвиваюча іграшка на присосці "Чарів…</t>
  </si>
  <si>
    <t xml:space="preserve">216289I</t>
  </si>
  <si>
    <t xml:space="preserve">Infantino Набір розвиваючих іграшок в тубусі</t>
  </si>
  <si>
    <t xml:space="preserve">005378I</t>
  </si>
  <si>
    <t xml:space="preserve">Infantino Іграшка м'яка навісна з прорізувачем …</t>
  </si>
  <si>
    <t xml:space="preserve">216570I</t>
  </si>
  <si>
    <t xml:space="preserve">Infantino Прорізувач для зубів "Ключі"</t>
  </si>
  <si>
    <t xml:space="preserve">316497</t>
  </si>
  <si>
    <t xml:space="preserve">Infantino Прорізувач для зубів "Друзі-звірята"</t>
  </si>
  <si>
    <t xml:space="preserve">302035</t>
  </si>
  <si>
    <t xml:space="preserve">Infantino Іграшка з прорізувачем, що світиться …</t>
  </si>
  <si>
    <t xml:space="preserve">005060I</t>
  </si>
  <si>
    <t xml:space="preserve">305087</t>
  </si>
  <si>
    <t xml:space="preserve">Infantino Іграшка-сортер "Китеня"</t>
  </si>
  <si>
    <t xml:space="preserve">315093I</t>
  </si>
  <si>
    <t xml:space="preserve">Infantino Розвиваючий набір сортер "Райдужна вежа"</t>
  </si>
  <si>
    <t xml:space="preserve">316051I</t>
  </si>
  <si>
    <t xml:space="preserve">Infantino Розвиваючий набір "Текстурні кубики"</t>
  </si>
  <si>
    <t xml:space="preserve">004915I</t>
  </si>
  <si>
    <t xml:space="preserve">Infantino Мобіль музичний з проектором 3в1, сірий</t>
  </si>
  <si>
    <t xml:space="preserve">004896I</t>
  </si>
  <si>
    <t xml:space="preserve">Infantino Мобіль музичний з проектором 3в1, бла…</t>
  </si>
  <si>
    <t xml:space="preserve">216320I</t>
  </si>
  <si>
    <t xml:space="preserve">Infantino Іграшка м'яка навісна з вібрацією "Сова"</t>
  </si>
  <si>
    <t xml:space="preserve">315092</t>
  </si>
  <si>
    <t xml:space="preserve">Infantino Іграшка "Ігрова гусениця"</t>
  </si>
  <si>
    <t xml:space="preserve">004909I</t>
  </si>
  <si>
    <t xml:space="preserve">Infantino Світильник "Спокійні сни", сірий</t>
  </si>
  <si>
    <t xml:space="preserve">305221</t>
  </si>
  <si>
    <t xml:space="preserve">Infantino "Час купати пінгвіна"</t>
  </si>
  <si>
    <t xml:space="preserve">005059I</t>
  </si>
  <si>
    <t xml:space="preserve">004914I</t>
  </si>
  <si>
    <t xml:space="preserve">Infantino Мобіль музичний з проектором 3в1, рож…</t>
  </si>
  <si>
    <t xml:space="preserve">306606</t>
  </si>
  <si>
    <t xml:space="preserve">Infantino М'який кубик Звірята</t>
  </si>
  <si>
    <t xml:space="preserve">004627I</t>
  </si>
  <si>
    <t xml:space="preserve">Infantino Світильник "Спокійні сни", блакитний</t>
  </si>
  <si>
    <t xml:space="preserve">004885I</t>
  </si>
  <si>
    <t xml:space="preserve">Infantino Розвиваюче гнучке брязкальце "Тряси і…</t>
  </si>
  <si>
    <t xml:space="preserve">315238</t>
  </si>
  <si>
    <t xml:space="preserve">Infantino Силіконові кубики "Яскраві розвивашки"</t>
  </si>
  <si>
    <t xml:space="preserve">305048I</t>
  </si>
  <si>
    <t xml:space="preserve">Infantino Іграшка-бризкалка для гри в воді "Чер…</t>
  </si>
  <si>
    <t xml:space="preserve">316577</t>
  </si>
  <si>
    <t xml:space="preserve">Infantino Прорізувач текстурний для зубів "Горо…</t>
  </si>
  <si>
    <t xml:space="preserve">313021I</t>
  </si>
  <si>
    <t xml:space="preserve">Infantino Подушка-рояль 3в1 "Єнот"</t>
  </si>
  <si>
    <t xml:space="preserve">315107</t>
  </si>
  <si>
    <t xml:space="preserve">Infantino Навісна іграшка з прищепкою "Карусель"</t>
  </si>
  <si>
    <t xml:space="preserve">205052</t>
  </si>
  <si>
    <t xml:space="preserve">Infantino Іграшка для купання з тестером темпер…</t>
  </si>
  <si>
    <t xml:space="preserve">315023</t>
  </si>
  <si>
    <t xml:space="preserve">Infantino Мульти-сенсорний набір "М'ячики"</t>
  </si>
  <si>
    <t xml:space="preserve">316638</t>
  </si>
  <si>
    <t xml:space="preserve">Infantino Прорізувач для зубів з вібрацією "Ябл…</t>
  </si>
  <si>
    <t xml:space="preserve">306832</t>
  </si>
  <si>
    <t xml:space="preserve">Infantino Прорізувач для зубів "Чарівний діамант"</t>
  </si>
  <si>
    <t xml:space="preserve">302032</t>
  </si>
  <si>
    <t xml:space="preserve">Infantino Світильник 3в1 "Друг Тюленчик"</t>
  </si>
  <si>
    <t xml:space="preserve">005151I</t>
  </si>
  <si>
    <t xml:space="preserve">Infantino Прорізувач для зубів кільце з намисти…</t>
  </si>
  <si>
    <t xml:space="preserve">302021</t>
  </si>
  <si>
    <t xml:space="preserve">Infantino Світильник "Лисеня з рухливим хвостиком"</t>
  </si>
  <si>
    <t xml:space="preserve">316564</t>
  </si>
  <si>
    <t xml:space="preserve">Infantino Прорізувач текстурний для зубів "Криж…</t>
  </si>
  <si>
    <t xml:space="preserve">307015</t>
  </si>
  <si>
    <t xml:space="preserve">Infantino Розвиваюча іграшка "Музичний їжачок-п…</t>
  </si>
  <si>
    <t xml:space="preserve">315058</t>
  </si>
  <si>
    <t xml:space="preserve">Infantino Конструктор, 12 блоків</t>
  </si>
  <si>
    <t xml:space="preserve">315193</t>
  </si>
  <si>
    <t xml:space="preserve">Infantino Набір іграшок 3в1 "Збери, Сортуй, Обе…</t>
  </si>
  <si>
    <t xml:space="preserve">316651</t>
  </si>
  <si>
    <t xml:space="preserve">Infantino Рукавичка-прорізувач "Мавпочка"</t>
  </si>
  <si>
    <t xml:space="preserve">206711</t>
  </si>
  <si>
    <t xml:space="preserve">Infantino Розвиваючі силіконові кубики "Порахуй…</t>
  </si>
  <si>
    <t xml:space="preserve">216274I</t>
  </si>
  <si>
    <t xml:space="preserve">Infantino Прорізувач для зубів "Левеня"</t>
  </si>
  <si>
    <t xml:space="preserve">227018I</t>
  </si>
  <si>
    <t xml:space="preserve">Infantino Інтерактивний розвиваючий центр 3в1 "…</t>
  </si>
  <si>
    <t xml:space="preserve">305114</t>
  </si>
  <si>
    <t xml:space="preserve">Infantino Іграшка для купання «Меломан»</t>
  </si>
  <si>
    <t xml:space="preserve">315068</t>
  </si>
  <si>
    <t xml:space="preserve">Infantino Брязкальце "Слоненя"</t>
  </si>
  <si>
    <t xml:space="preserve">315133</t>
  </si>
  <si>
    <t xml:space="preserve">Infantino Іграшка пожежна машинка</t>
  </si>
  <si>
    <t xml:space="preserve">310231</t>
  </si>
  <si>
    <t xml:space="preserve">Infantino Сенсорний набір "М'ячики кубики та тв…</t>
  </si>
  <si>
    <t xml:space="preserve">216265I</t>
  </si>
  <si>
    <t xml:space="preserve">Infantino Навісні обертові іграшки "Мандрівники"</t>
  </si>
  <si>
    <t xml:space="preserve">305112</t>
  </si>
  <si>
    <t xml:space="preserve">Infantino Іграшка для купання «Аква»</t>
  </si>
  <si>
    <t xml:space="preserve">217023I</t>
  </si>
  <si>
    <t xml:space="preserve">305115</t>
  </si>
  <si>
    <t xml:space="preserve">Infantino Іграшка для купання «Пірат»</t>
  </si>
  <si>
    <t xml:space="preserve">315132</t>
  </si>
  <si>
    <t xml:space="preserve">Infantino Іграшка поліцейська машинка</t>
  </si>
  <si>
    <t xml:space="preserve">305111</t>
  </si>
  <si>
    <t xml:space="preserve">Infantino Іграшка для купання «Капітан»</t>
  </si>
  <si>
    <t xml:space="preserve">305113</t>
  </si>
  <si>
    <t xml:space="preserve">Infantino Іграшка для купання «На вечірку»</t>
  </si>
  <si>
    <t xml:space="preserve">205040_I</t>
  </si>
  <si>
    <t xml:space="preserve">Infantino Набір для гри в воді "Весела рибалка"</t>
  </si>
  <si>
    <t xml:space="preserve">313037</t>
  </si>
  <si>
    <t xml:space="preserve">Infantino Розвиваючий килимок Discovery з ігров…</t>
  </si>
  <si>
    <t xml:space="preserve">316245I</t>
  </si>
  <si>
    <t xml:space="preserve">Infantino М'яка музична іграшка "Рухливе слоненя"</t>
  </si>
  <si>
    <t xml:space="preserve">315134</t>
  </si>
  <si>
    <t xml:space="preserve">Infantino Іграшка машинка самоскид</t>
  </si>
  <si>
    <t xml:space="preserve">305093</t>
  </si>
  <si>
    <t xml:space="preserve">Infantino Іграшка для купання "Каченя" у асорти…</t>
  </si>
  <si>
    <t xml:space="preserve">316258I</t>
  </si>
  <si>
    <t xml:space="preserve">Infantino М'яка музична іграшка "Рухливе левеня"</t>
  </si>
  <si>
    <t xml:space="preserve">315072I</t>
  </si>
  <si>
    <t xml:space="preserve">Infantino Набір іграшок "Ігровий набір №1"</t>
  </si>
  <si>
    <t xml:space="preserve">205041_I</t>
  </si>
  <si>
    <t xml:space="preserve">Infantino Набір для гри в воді "Рибалка з сачком"</t>
  </si>
  <si>
    <t xml:space="preserve">305100</t>
  </si>
  <si>
    <t xml:space="preserve">Infantino Іграшка для купання «Каченя – іменинник»</t>
  </si>
  <si>
    <t xml:space="preserve">305102</t>
  </si>
  <si>
    <t xml:space="preserve">Infantino Іграшка для купання «Під дощем»</t>
  </si>
  <si>
    <t xml:space="preserve">305109</t>
  </si>
  <si>
    <t xml:space="preserve">Infantino Іграшка для купання «Каченя – бейсбол…</t>
  </si>
  <si>
    <t xml:space="preserve">305116</t>
  </si>
  <si>
    <t xml:space="preserve">Infantino Іграшка для купання «В шапочці»</t>
  </si>
  <si>
    <t xml:space="preserve">310247I</t>
  </si>
  <si>
    <t xml:space="preserve">Infantino Іграшка машинка "Маленький автопарк"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</si>
</sst>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"/>
    <numFmt numFmtId="167" formatCode="\+#,##0.0;\-#,##0.0;0.0"/>
    <numFmt numFmtId="168" formatCode="\+0.0%;\-0.0%;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0F0F0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1D2D44"/>
      <name val="Arial"/>
      <family val="0"/>
      <charset val="1"/>
    </font>
    <font>
      <sz val="10"/>
      <color rgb="FF2E703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.5"/>
      <color rgb="FF1D2D44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D2D44"/>
        <bgColor rgb="FF333333"/>
      </patternFill>
    </fill>
    <fill>
      <patternFill patternType="solid">
        <fgColor rgb="FF334766"/>
        <bgColor rgb="FF333333"/>
      </patternFill>
    </fill>
    <fill>
      <patternFill patternType="solid">
        <fgColor rgb="FF1E88E5"/>
        <bgColor rgb="FF0066CC"/>
      </patternFill>
    </fill>
    <fill>
      <patternFill patternType="solid">
        <fgColor rgb="FFFFFFFF"/>
        <bgColor rgb="FFFFF8E1"/>
      </patternFill>
    </fill>
    <fill>
      <patternFill patternType="solid">
        <fgColor rgb="FFFFF3E0"/>
        <bgColor rgb="FFFFF8E1"/>
      </patternFill>
    </fill>
    <fill>
      <patternFill patternType="solid">
        <fgColor rgb="FFE8F5E9"/>
        <bgColor rgb="FFF0F0F0"/>
      </patternFill>
    </fill>
    <fill>
      <patternFill patternType="solid">
        <fgColor rgb="FFFFF8E1"/>
        <bgColor rgb="FFFFF3E0"/>
      </patternFill>
    </fill>
    <fill>
      <patternFill patternType="solid">
        <fgColor rgb="FF43A047"/>
        <bgColor rgb="FF2E7031"/>
      </patternFill>
    </fill>
    <fill>
      <patternFill patternType="solid">
        <fgColor rgb="FFFB8C00"/>
        <bgColor rgb="FFFF6600"/>
      </patternFill>
    </fill>
    <fill>
      <patternFill patternType="solid">
        <fgColor rgb="FFE3F2FD"/>
        <bgColor rgb="FFE8F5E9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medium">
        <color rgb="FF808080"/>
      </top>
      <bottom style="medium">
        <color rgb="FF808080"/>
      </bottom>
      <diagonal/>
    </border>
    <border diagonalUp="false" diagonalDown="false">
      <left style="medium">
        <color rgb="FF808080"/>
      </left>
      <right style="medium">
        <color rgb="FF808080"/>
      </right>
      <top style="medium">
        <color rgb="FF808080"/>
      </top>
      <bottom/>
      <diagonal/>
    </border>
    <border diagonalUp="false" diagonalDown="false">
      <left style="medium">
        <color rgb="FF808080"/>
      </left>
      <right style="medium">
        <color rgb="FF80808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medium">
        <color rgb="FF80808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 diagonalUp="false" diagonalDown="false">
      <left style="medium">
        <color rgb="FF808080"/>
      </left>
      <right/>
      <top style="thin">
        <color rgb="FFC0C0C0"/>
      </top>
      <bottom style="thin">
        <color rgb="FFC0C0C0"/>
      </bottom>
      <diagonal/>
    </border>
    <border diagonalUp="false" diagonalDown="false">
      <left style="medium">
        <color rgb="FF808080"/>
      </left>
      <right style="thin">
        <color rgb="FFC0C0C0"/>
      </right>
      <top style="thin">
        <color rgb="FFC0C0C0"/>
      </top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6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6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8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6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8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6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8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6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6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031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E3F2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0F0F0"/>
      <rgbColor rgb="FFFFF3E0"/>
      <rgbColor rgb="FF99CCFF"/>
      <rgbColor rgb="FFFF99CC"/>
      <rgbColor rgb="FFCC99FF"/>
      <rgbColor rgb="FFFFCC99"/>
      <rgbColor rgb="FF1E88E5"/>
      <rgbColor rgb="FF33CCCC"/>
      <rgbColor rgb="FF99CC00"/>
      <rgbColor rgb="FFFFCC00"/>
      <rgbColor rgb="FFFB8C00"/>
      <rgbColor rgb="FFFF6600"/>
      <rgbColor rgb="FF666666"/>
      <rgbColor rgb="FF969696"/>
      <rgbColor rgb="FF1D2D44"/>
      <rgbColor rgb="FF43A047"/>
      <rgbColor rgb="FF003300"/>
      <rgbColor rgb="FF333300"/>
      <rgbColor rgb="FF993300"/>
      <rgbColor rgb="FF993366"/>
      <rgbColor rgb="FF33476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9" min="3" style="0" width="11.5"/>
    <col collapsed="false" customWidth="true" hidden="false" outlineLevel="0" max="10" min="10" style="0" width="13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true" outlineLevel="0" collapsed="false">
      <c r="A5" s="4" t="s">
        <v>12</v>
      </c>
      <c r="B5" s="5" t="s">
        <v>13</v>
      </c>
      <c r="C5" s="6" t="n">
        <v>2306</v>
      </c>
      <c r="D5" s="6" t="n">
        <v>2539</v>
      </c>
      <c r="E5" s="6" t="n">
        <v>2213</v>
      </c>
      <c r="F5" s="6" t="n">
        <v>2883</v>
      </c>
      <c r="G5" s="6" t="n">
        <v>4078</v>
      </c>
      <c r="H5" s="6" t="n">
        <v>8629</v>
      </c>
      <c r="I5" s="6" t="n">
        <v>3813</v>
      </c>
      <c r="J5" s="7" t="n">
        <f aca="false">SUM(C5:I5)</f>
        <v>26461</v>
      </c>
    </row>
    <row r="6" customFormat="false" ht="15" hidden="false" customHeight="false" outlineLevel="0" collapsed="false">
      <c r="A6" s="4"/>
      <c r="B6" s="8" t="s">
        <v>14</v>
      </c>
      <c r="C6" s="9" t="n">
        <v>2418.2</v>
      </c>
      <c r="D6" s="9" t="n">
        <v>2598.5</v>
      </c>
      <c r="E6" s="9" t="n">
        <v>2878.3</v>
      </c>
      <c r="F6" s="9" t="n">
        <v>3483.9</v>
      </c>
      <c r="G6" s="9" t="n">
        <v>4120.6</v>
      </c>
      <c r="H6" s="9" t="n">
        <v>7949.2</v>
      </c>
      <c r="I6" s="9" t="n">
        <v>4430.4</v>
      </c>
      <c r="J6" s="10" t="n">
        <f aca="false">SUM(C6:I6)</f>
        <v>27879.1</v>
      </c>
    </row>
    <row r="7" customFormat="false" ht="15" hidden="false" customHeight="false" outlineLevel="0" collapsed="false">
      <c r="A7" s="4"/>
      <c r="B7" s="11" t="s">
        <v>15</v>
      </c>
      <c r="C7" s="12" t="n">
        <f aca="false">C6-C5</f>
        <v>112.2</v>
      </c>
      <c r="D7" s="12" t="n">
        <f aca="false">D6-D5</f>
        <v>59.5</v>
      </c>
      <c r="E7" s="12" t="n">
        <f aca="false">E6-E5</f>
        <v>665.3</v>
      </c>
      <c r="F7" s="12" t="n">
        <f aca="false">F6-F5</f>
        <v>600.9</v>
      </c>
      <c r="G7" s="12" t="n">
        <f aca="false">G6-G5</f>
        <v>42.6000000000004</v>
      </c>
      <c r="H7" s="12" t="n">
        <f aca="false">H6-H5</f>
        <v>-679.8</v>
      </c>
      <c r="I7" s="12" t="n">
        <f aca="false">I6-I5</f>
        <v>617.4</v>
      </c>
      <c r="J7" s="13" t="n">
        <f aca="false">SUM(C7:I7)</f>
        <v>1418.1</v>
      </c>
    </row>
    <row r="8" customFormat="false" ht="15" hidden="false" customHeight="false" outlineLevel="0" collapsed="false">
      <c r="A8" s="4"/>
      <c r="B8" s="11" t="s">
        <v>16</v>
      </c>
      <c r="C8" s="14" t="n">
        <f aca="false">IFERROR((C6-C5)/C5,0)</f>
        <v>0.0486556808326105</v>
      </c>
      <c r="D8" s="14" t="n">
        <f aca="false">IFERROR((D6-D5)/D5,0)</f>
        <v>0.0234344230011816</v>
      </c>
      <c r="E8" s="14" t="n">
        <f aca="false">IFERROR((E6-E5)/E5,0)</f>
        <v>0.300632625395391</v>
      </c>
      <c r="F8" s="14" t="n">
        <f aca="false">IFERROR((F6-F5)/F5,0)</f>
        <v>0.208428720083247</v>
      </c>
      <c r="G8" s="14" t="n">
        <f aca="false">IFERROR((G6-G5)/G5,0)</f>
        <v>0.0104462972045121</v>
      </c>
      <c r="H8" s="14" t="n">
        <f aca="false">IFERROR((H6-H5)/H5,0)</f>
        <v>-0.0787808552555337</v>
      </c>
      <c r="I8" s="14" t="n">
        <f aca="false">IFERROR((I6-I5)/I5,0)</f>
        <v>0.16191974822974</v>
      </c>
      <c r="J8" s="15" t="n">
        <f aca="false">IFERROR((SUM(C6:I6)-SUM(C5:I5))/SUM(C5:I5),0)</f>
        <v>0.0535920789085824</v>
      </c>
    </row>
    <row r="9" customFormat="false" ht="15" hidden="false" customHeight="false" outlineLevel="0" collapsed="false">
      <c r="A9" s="4"/>
      <c r="B9" s="5" t="s">
        <v>17</v>
      </c>
      <c r="C9" s="16" t="n">
        <v>584.3</v>
      </c>
      <c r="D9" s="16" t="n">
        <v>656.5</v>
      </c>
      <c r="E9" s="16" t="n">
        <v>605.3</v>
      </c>
      <c r="F9" s="16" t="n">
        <v>847.4</v>
      </c>
      <c r="G9" s="16" t="n">
        <v>1281.1</v>
      </c>
      <c r="H9" s="16" t="n">
        <v>3139.4</v>
      </c>
      <c r="I9" s="16" t="n">
        <v>1317.1</v>
      </c>
      <c r="J9" s="10" t="n">
        <f aca="false">SUM(C9:I9)</f>
        <v>8431.1</v>
      </c>
    </row>
    <row r="10" customFormat="false" ht="15" hidden="false" customHeight="false" outlineLevel="0" collapsed="false">
      <c r="A10" s="4"/>
      <c r="B10" s="8" t="s">
        <v>18</v>
      </c>
      <c r="C10" s="9" t="n">
        <v>635.7</v>
      </c>
      <c r="D10" s="9" t="n">
        <v>692.4</v>
      </c>
      <c r="E10" s="9" t="n">
        <v>760.9</v>
      </c>
      <c r="F10" s="9" t="n">
        <v>986.2</v>
      </c>
      <c r="G10" s="9" t="n">
        <v>1245.7</v>
      </c>
      <c r="H10" s="9" t="n">
        <v>2570.9</v>
      </c>
      <c r="I10" s="9" t="n">
        <v>1390.7</v>
      </c>
      <c r="J10" s="10" t="n">
        <f aca="false">SUM(C10:I10)</f>
        <v>8282.5</v>
      </c>
    </row>
    <row r="12" customFormat="false" ht="15" hidden="false" customHeight="true" outlineLevel="0" collapsed="false">
      <c r="A12" s="17" t="s">
        <v>19</v>
      </c>
      <c r="B12" s="5" t="s">
        <v>13</v>
      </c>
      <c r="C12" s="6" t="n">
        <v>3271</v>
      </c>
      <c r="D12" s="6" t="n">
        <v>3341</v>
      </c>
      <c r="E12" s="6" t="n">
        <v>3204</v>
      </c>
      <c r="F12" s="6" t="n">
        <v>4590</v>
      </c>
      <c r="G12" s="6" t="n">
        <v>4879</v>
      </c>
      <c r="H12" s="6" t="n">
        <v>8967</v>
      </c>
      <c r="I12" s="6" t="n">
        <v>3843</v>
      </c>
      <c r="J12" s="7" t="n">
        <f aca="false">SUM(C12:I12)</f>
        <v>32095</v>
      </c>
    </row>
    <row r="13" customFormat="false" ht="15" hidden="false" customHeight="false" outlineLevel="0" collapsed="false">
      <c r="A13" s="17"/>
      <c r="B13" s="8" t="s">
        <v>14</v>
      </c>
      <c r="C13" s="9" t="n">
        <v>3357.3</v>
      </c>
      <c r="D13" s="9" t="n">
        <v>3485.3</v>
      </c>
      <c r="E13" s="9" t="n">
        <v>3465</v>
      </c>
      <c r="F13" s="9" t="n">
        <v>3778.1</v>
      </c>
      <c r="G13" s="9" t="n">
        <v>4026.2</v>
      </c>
      <c r="H13" s="9" t="n">
        <v>8841.9</v>
      </c>
      <c r="I13" s="9" t="n">
        <v>4798.9</v>
      </c>
      <c r="J13" s="10" t="n">
        <f aca="false">SUM(C13:I13)</f>
        <v>31752.7</v>
      </c>
    </row>
    <row r="14" customFormat="false" ht="15" hidden="false" customHeight="false" outlineLevel="0" collapsed="false">
      <c r="A14" s="17"/>
      <c r="B14" s="11" t="s">
        <v>15</v>
      </c>
      <c r="C14" s="12" t="n">
        <f aca="false">C13-C12</f>
        <v>86.3000000000002</v>
      </c>
      <c r="D14" s="12" t="n">
        <f aca="false">D13-D12</f>
        <v>144.3</v>
      </c>
      <c r="E14" s="12" t="n">
        <f aca="false">E13-E12</f>
        <v>261</v>
      </c>
      <c r="F14" s="12" t="n">
        <f aca="false">F13-F12</f>
        <v>-811.9</v>
      </c>
      <c r="G14" s="12" t="n">
        <f aca="false">G13-G12</f>
        <v>-852.8</v>
      </c>
      <c r="H14" s="12" t="n">
        <f aca="false">H13-H12</f>
        <v>-125.1</v>
      </c>
      <c r="I14" s="12" t="n">
        <f aca="false">I13-I12</f>
        <v>955.9</v>
      </c>
      <c r="J14" s="13" t="n">
        <f aca="false">SUM(C14:I14)</f>
        <v>-342.300000000001</v>
      </c>
    </row>
    <row r="15" customFormat="false" ht="15" hidden="false" customHeight="false" outlineLevel="0" collapsed="false">
      <c r="A15" s="17"/>
      <c r="B15" s="11" t="s">
        <v>16</v>
      </c>
      <c r="C15" s="14" t="n">
        <f aca="false">IFERROR((C13-C12)/C12,0)</f>
        <v>0.0263833690003058</v>
      </c>
      <c r="D15" s="14" t="n">
        <f aca="false">IFERROR((D13-D12)/D12,0)</f>
        <v>0.0431906614785993</v>
      </c>
      <c r="E15" s="14" t="n">
        <f aca="false">IFERROR((E13-E12)/E12,0)</f>
        <v>0.0814606741573034</v>
      </c>
      <c r="F15" s="14" t="n">
        <f aca="false">IFERROR((F13-F12)/F12,0)</f>
        <v>-0.176884531590414</v>
      </c>
      <c r="G15" s="14" t="n">
        <f aca="false">IFERROR((G13-G12)/G12,0)</f>
        <v>-0.174789915966387</v>
      </c>
      <c r="H15" s="14" t="n">
        <f aca="false">IFERROR((H13-H12)/H12,0)</f>
        <v>-0.0139511542321847</v>
      </c>
      <c r="I15" s="14" t="n">
        <f aca="false">IFERROR((I13-I12)/I12,0)</f>
        <v>0.248737965131408</v>
      </c>
      <c r="J15" s="15" t="n">
        <f aca="false">IFERROR((SUM(C13:I13)-SUM(C12:I12))/SUM(C12:I12),0)</f>
        <v>-0.0106652126499456</v>
      </c>
    </row>
    <row r="16" customFormat="false" ht="15" hidden="false" customHeight="false" outlineLevel="0" collapsed="false">
      <c r="A16" s="17"/>
      <c r="B16" s="5" t="s">
        <v>17</v>
      </c>
      <c r="C16" s="16" t="n">
        <v>1075.1</v>
      </c>
      <c r="D16" s="16" t="n">
        <v>1109.4</v>
      </c>
      <c r="E16" s="16" t="n">
        <v>1115.6</v>
      </c>
      <c r="F16" s="16" t="n">
        <v>1592.9</v>
      </c>
      <c r="G16" s="16" t="n">
        <v>1786.4</v>
      </c>
      <c r="H16" s="16" t="n">
        <v>3479.2</v>
      </c>
      <c r="I16" s="16" t="n">
        <v>1434.6</v>
      </c>
      <c r="J16" s="10" t="n">
        <f aca="false">SUM(C16:I16)</f>
        <v>11593.2</v>
      </c>
    </row>
    <row r="17" customFormat="false" ht="15" hidden="false" customHeight="false" outlineLevel="0" collapsed="false">
      <c r="A17" s="17"/>
      <c r="B17" s="8" t="s">
        <v>18</v>
      </c>
      <c r="C17" s="9" t="n">
        <v>1112.7</v>
      </c>
      <c r="D17" s="9" t="n">
        <v>1189.2</v>
      </c>
      <c r="E17" s="9" t="n">
        <v>1197.8</v>
      </c>
      <c r="F17" s="9" t="n">
        <v>1339.8</v>
      </c>
      <c r="G17" s="9" t="n">
        <v>1471.5</v>
      </c>
      <c r="H17" s="9" t="n">
        <v>3450.5</v>
      </c>
      <c r="I17" s="9" t="n">
        <v>1808.8</v>
      </c>
      <c r="J17" s="10" t="n">
        <f aca="false">SUM(C17:I17)</f>
        <v>11570.3</v>
      </c>
    </row>
    <row r="19" customFormat="false" ht="15" hidden="false" customHeight="true" outlineLevel="0" collapsed="false">
      <c r="A19" s="18" t="s">
        <v>20</v>
      </c>
      <c r="B19" s="5" t="s">
        <v>13</v>
      </c>
      <c r="C19" s="6" t="n">
        <v>4133</v>
      </c>
      <c r="D19" s="6" t="n">
        <v>4005</v>
      </c>
      <c r="E19" s="6" t="n">
        <v>3688</v>
      </c>
      <c r="F19" s="6" t="n">
        <v>3907</v>
      </c>
      <c r="G19" s="6" t="n">
        <v>4534</v>
      </c>
      <c r="H19" s="6" t="n">
        <v>6969</v>
      </c>
      <c r="I19" s="6" t="n">
        <v>3365</v>
      </c>
      <c r="J19" s="7" t="n">
        <f aca="false">SUM(C19:I19)</f>
        <v>30601</v>
      </c>
    </row>
    <row r="20" customFormat="false" ht="15" hidden="false" customHeight="false" outlineLevel="0" collapsed="false">
      <c r="A20" s="18"/>
      <c r="B20" s="8" t="s">
        <v>14</v>
      </c>
      <c r="C20" s="9" t="n">
        <v>3817</v>
      </c>
      <c r="D20" s="9" t="n">
        <v>4263</v>
      </c>
      <c r="E20" s="9" t="n">
        <v>3865.1</v>
      </c>
      <c r="F20" s="9" t="n">
        <v>3925.4</v>
      </c>
      <c r="G20" s="9" t="n">
        <v>4219.9</v>
      </c>
      <c r="H20" s="9" t="n">
        <v>6899.7</v>
      </c>
      <c r="I20" s="9" t="n">
        <v>4514.5</v>
      </c>
      <c r="J20" s="10" t="n">
        <f aca="false">SUM(C20:I20)</f>
        <v>31504.6</v>
      </c>
    </row>
    <row r="21" customFormat="false" ht="15" hidden="false" customHeight="false" outlineLevel="0" collapsed="false">
      <c r="A21" s="18"/>
      <c r="B21" s="11" t="s">
        <v>15</v>
      </c>
      <c r="C21" s="12" t="n">
        <f aca="false">C20-C19</f>
        <v>-316</v>
      </c>
      <c r="D21" s="12" t="n">
        <f aca="false">D20-D19</f>
        <v>258</v>
      </c>
      <c r="E21" s="12" t="n">
        <f aca="false">E20-E19</f>
        <v>177.1</v>
      </c>
      <c r="F21" s="12" t="n">
        <f aca="false">F20-F19</f>
        <v>18.4000000000001</v>
      </c>
      <c r="G21" s="12" t="n">
        <f aca="false">G20-G19</f>
        <v>-314.1</v>
      </c>
      <c r="H21" s="12" t="n">
        <f aca="false">H20-H19</f>
        <v>-69.3000000000002</v>
      </c>
      <c r="I21" s="12" t="n">
        <f aca="false">I20-I19</f>
        <v>1149.5</v>
      </c>
      <c r="J21" s="13" t="n">
        <f aca="false">SUM(C21:I21)</f>
        <v>903.6</v>
      </c>
    </row>
    <row r="22" customFormat="false" ht="15" hidden="false" customHeight="false" outlineLevel="0" collapsed="false">
      <c r="A22" s="18"/>
      <c r="B22" s="11" t="s">
        <v>16</v>
      </c>
      <c r="C22" s="14" t="n">
        <f aca="false">IFERROR((C20-C19)/C19,0)</f>
        <v>-0.0764577788531333</v>
      </c>
      <c r="D22" s="14" t="n">
        <f aca="false">IFERROR((D20-D19)/D19,0)</f>
        <v>0.0644194756554307</v>
      </c>
      <c r="E22" s="14" t="n">
        <f aca="false">IFERROR((E20-E19)/E19,0)</f>
        <v>0.0480206073752711</v>
      </c>
      <c r="F22" s="14" t="n">
        <f aca="false">IFERROR((F20-F19)/F19,0)</f>
        <v>0.00470949577681088</v>
      </c>
      <c r="G22" s="14" t="n">
        <f aca="false">IFERROR((G20-G19)/G19,0)</f>
        <v>-0.0692765769739745</v>
      </c>
      <c r="H22" s="14" t="n">
        <f aca="false">IFERROR((H20-H19)/H19,0)</f>
        <v>-0.0099440378820491</v>
      </c>
      <c r="I22" s="14" t="n">
        <f aca="false">IFERROR((I20-I19)/I19,0)</f>
        <v>0.341604754829123</v>
      </c>
      <c r="J22" s="15" t="n">
        <f aca="false">IFERROR((SUM(C20:I20)-SUM(C19:I19))/SUM(C19:I19),0)</f>
        <v>0.0295284467827848</v>
      </c>
    </row>
    <row r="23" customFormat="false" ht="15" hidden="false" customHeight="false" outlineLevel="0" collapsed="false">
      <c r="A23" s="18"/>
      <c r="B23" s="5" t="s">
        <v>17</v>
      </c>
      <c r="C23" s="16" t="n">
        <v>1497.6</v>
      </c>
      <c r="D23" s="16" t="n">
        <v>1419.2</v>
      </c>
      <c r="E23" s="16" t="n">
        <v>1375</v>
      </c>
      <c r="F23" s="16" t="n">
        <v>1464.7</v>
      </c>
      <c r="G23" s="16" t="n">
        <v>1722.6</v>
      </c>
      <c r="H23" s="16" t="n">
        <v>2734.2</v>
      </c>
      <c r="I23" s="16" t="n">
        <v>1260.8</v>
      </c>
      <c r="J23" s="10" t="n">
        <f aca="false">SUM(C23:I23)</f>
        <v>11474.1</v>
      </c>
    </row>
    <row r="24" customFormat="false" ht="15" hidden="false" customHeight="false" outlineLevel="0" collapsed="false">
      <c r="A24" s="18"/>
      <c r="B24" s="8" t="s">
        <v>18</v>
      </c>
      <c r="C24" s="9" t="n">
        <v>1376</v>
      </c>
      <c r="D24" s="9" t="n">
        <v>1520.9</v>
      </c>
      <c r="E24" s="9" t="n">
        <v>1383.2</v>
      </c>
      <c r="F24" s="9" t="n">
        <v>1443.1</v>
      </c>
      <c r="G24" s="9" t="n">
        <v>1598.5</v>
      </c>
      <c r="H24" s="9" t="n">
        <v>2741.6</v>
      </c>
      <c r="I24" s="9" t="n">
        <v>1748.1</v>
      </c>
      <c r="J24" s="10" t="n">
        <f aca="false">SUM(C24:I24)</f>
        <v>11811.4</v>
      </c>
    </row>
    <row r="26" customFormat="false" ht="15" hidden="false" customHeight="true" outlineLevel="0" collapsed="false">
      <c r="A26" s="19" t="s">
        <v>21</v>
      </c>
      <c r="B26" s="20" t="s">
        <v>13</v>
      </c>
      <c r="C26" s="21" t="n">
        <f aca="false">SUM(C5,C12,C19)</f>
        <v>9710</v>
      </c>
      <c r="D26" s="21" t="n">
        <f aca="false">SUM(D5,D12,D19)</f>
        <v>9885</v>
      </c>
      <c r="E26" s="21" t="n">
        <f aca="false">SUM(E5,E12,E19)</f>
        <v>9105</v>
      </c>
      <c r="F26" s="21" t="n">
        <f aca="false">SUM(F5,F12,F19)</f>
        <v>11380</v>
      </c>
      <c r="G26" s="21" t="n">
        <f aca="false">SUM(G5,G12,G19)</f>
        <v>13491</v>
      </c>
      <c r="H26" s="21" t="n">
        <f aca="false">SUM(H5,H12,H19)</f>
        <v>24565</v>
      </c>
      <c r="I26" s="21" t="n">
        <f aca="false">SUM(I5,I12,I19)</f>
        <v>11021</v>
      </c>
      <c r="J26" s="7" t="n">
        <f aca="false">SUM(C26:I26)</f>
        <v>89157</v>
      </c>
    </row>
    <row r="27" customFormat="false" ht="15" hidden="false" customHeight="false" outlineLevel="0" collapsed="false">
      <c r="A27" s="19"/>
      <c r="B27" s="22" t="s">
        <v>14</v>
      </c>
      <c r="C27" s="23" t="n">
        <f aca="false">SUM(C6,C13,C20)</f>
        <v>9592.5</v>
      </c>
      <c r="D27" s="23" t="n">
        <f aca="false">SUM(D6,D13,D20)</f>
        <v>10346.8</v>
      </c>
      <c r="E27" s="23" t="n">
        <f aca="false">SUM(E6,E13,E20)</f>
        <v>10208.4</v>
      </c>
      <c r="F27" s="23" t="n">
        <f aca="false">SUM(F6,F13,F20)</f>
        <v>11187.4</v>
      </c>
      <c r="G27" s="23" t="n">
        <f aca="false">SUM(G6,G13,G20)</f>
        <v>12366.7</v>
      </c>
      <c r="H27" s="23" t="n">
        <f aca="false">SUM(H6,H13,H20)</f>
        <v>23690.8</v>
      </c>
      <c r="I27" s="23" t="n">
        <f aca="false">SUM(I6,I13,I20)</f>
        <v>13743.8</v>
      </c>
      <c r="J27" s="10" t="n">
        <f aca="false">SUM(C27:I27)</f>
        <v>91136.4</v>
      </c>
    </row>
    <row r="28" customFormat="false" ht="15" hidden="false" customHeight="false" outlineLevel="0" collapsed="false">
      <c r="A28" s="19"/>
      <c r="B28" s="11" t="s">
        <v>15</v>
      </c>
      <c r="C28" s="12" t="n">
        <f aca="false">SUM(C7,C14,C21)</f>
        <v>-117.5</v>
      </c>
      <c r="D28" s="12" t="n">
        <f aca="false">SUM(D7,D14,D21)</f>
        <v>461.8</v>
      </c>
      <c r="E28" s="12" t="n">
        <f aca="false">SUM(E7,E14,E21)</f>
        <v>1103.4</v>
      </c>
      <c r="F28" s="12" t="n">
        <f aca="false">SUM(F7,F14,F21)</f>
        <v>-192.6</v>
      </c>
      <c r="G28" s="12" t="n">
        <f aca="false">SUM(G7,G14,G21)</f>
        <v>-1124.3</v>
      </c>
      <c r="H28" s="12" t="n">
        <f aca="false">SUM(H7,H14,H21)</f>
        <v>-874.200000000001</v>
      </c>
      <c r="I28" s="12" t="n">
        <f aca="false">SUM(I7,I14,I21)</f>
        <v>2722.8</v>
      </c>
      <c r="J28" s="13" t="n">
        <f aca="false">SUM(C28:I28)</f>
        <v>1979.4</v>
      </c>
    </row>
    <row r="29" customFormat="false" ht="15" hidden="false" customHeight="false" outlineLevel="0" collapsed="false">
      <c r="A29" s="19"/>
      <c r="B29" s="11" t="s">
        <v>16</v>
      </c>
      <c r="C29" s="14" t="n">
        <f aca="false">IFERROR((SUM(C6,C13,C20)-SUM(C5,C12,C19))/SUM(C5,C12,C19),0)</f>
        <v>-0.0121009268795057</v>
      </c>
      <c r="D29" s="14" t="n">
        <f aca="false">IFERROR((SUM(D6,D13,D20)-SUM(D5,D12,D19))/SUM(D5,D12,D19),0)</f>
        <v>0.046717248356095</v>
      </c>
      <c r="E29" s="14" t="n">
        <f aca="false">IFERROR((SUM(E6,E13,E20)-SUM(E5,E12,E19))/SUM(E5,E12,E19),0)</f>
        <v>0.121186161449753</v>
      </c>
      <c r="F29" s="14" t="n">
        <f aca="false">IFERROR((SUM(F6,F13,F20)-SUM(F5,F12,F19))/SUM(F5,F12,F19),0)</f>
        <v>-0.0169244288224956</v>
      </c>
      <c r="G29" s="14" t="n">
        <f aca="false">IFERROR((SUM(G6,G13,G20)-SUM(G5,G12,G19))/SUM(G5,G12,G19),0)</f>
        <v>-0.08333703950782</v>
      </c>
      <c r="H29" s="14" t="n">
        <f aca="false">IFERROR((SUM(H6,H13,H20)-SUM(H5,H12,H19))/SUM(H5,H12,H19),0)</f>
        <v>-0.0355872175859964</v>
      </c>
      <c r="I29" s="14" t="n">
        <f aca="false">IFERROR((SUM(I6,I13,I20)-SUM(I5,I12,I19))/SUM(I5,I12,I19),0)</f>
        <v>0.247055621087016</v>
      </c>
      <c r="J29" s="15" t="n">
        <f aca="false">IFERROR((SUM(C27:I27)-SUM(C26:I26))/SUM(C26:I26),0)</f>
        <v>0.0222012853729938</v>
      </c>
    </row>
    <row r="30" customFormat="false" ht="15" hidden="false" customHeight="false" outlineLevel="0" collapsed="false">
      <c r="A30" s="19"/>
      <c r="B30" s="20" t="s">
        <v>17</v>
      </c>
      <c r="C30" s="24" t="n">
        <f aca="false">SUM(C9,C16,C23)</f>
        <v>3157</v>
      </c>
      <c r="D30" s="24" t="n">
        <f aca="false">SUM(D9,D16,D23)</f>
        <v>3185.1</v>
      </c>
      <c r="E30" s="24" t="n">
        <f aca="false">SUM(E9,E16,E23)</f>
        <v>3095.9</v>
      </c>
      <c r="F30" s="24" t="n">
        <f aca="false">SUM(F9,F16,F23)</f>
        <v>3905</v>
      </c>
      <c r="G30" s="24" t="n">
        <f aca="false">SUM(G9,G16,G23)</f>
        <v>4790.1</v>
      </c>
      <c r="H30" s="24" t="n">
        <f aca="false">SUM(H9,H16,H23)</f>
        <v>9352.8</v>
      </c>
      <c r="I30" s="24" t="n">
        <f aca="false">SUM(I9,I16,I23)</f>
        <v>4012.5</v>
      </c>
      <c r="J30" s="10" t="n">
        <f aca="false">SUM(C30:I30)</f>
        <v>31498.4</v>
      </c>
    </row>
    <row r="31" customFormat="false" ht="15" hidden="false" customHeight="false" outlineLevel="0" collapsed="false">
      <c r="A31" s="19"/>
      <c r="B31" s="22" t="s">
        <v>18</v>
      </c>
      <c r="C31" s="23" t="n">
        <f aca="false">SUM(C10,C17,C24)</f>
        <v>3124.4</v>
      </c>
      <c r="D31" s="23" t="n">
        <f aca="false">SUM(D10,D17,D24)</f>
        <v>3402.5</v>
      </c>
      <c r="E31" s="23" t="n">
        <f aca="false">SUM(E10,E17,E24)</f>
        <v>3341.9</v>
      </c>
      <c r="F31" s="23" t="n">
        <f aca="false">SUM(F10,F17,F24)</f>
        <v>3769.1</v>
      </c>
      <c r="G31" s="23" t="n">
        <f aca="false">SUM(G10,G17,G24)</f>
        <v>4315.7</v>
      </c>
      <c r="H31" s="23" t="n">
        <f aca="false">SUM(H10,H17,H24)</f>
        <v>8763</v>
      </c>
      <c r="I31" s="23" t="n">
        <f aca="false">SUM(I10,I17,I24)</f>
        <v>4947.6</v>
      </c>
      <c r="J31" s="10" t="n">
        <f aca="false">SUM(C31:I31)</f>
        <v>31664.2</v>
      </c>
    </row>
    <row r="33" customFormat="false" ht="69.75" hidden="false" customHeight="true" outlineLevel="0" collapsed="false">
      <c r="A33" s="25" t="s">
        <v>22</v>
      </c>
      <c r="B33" s="25"/>
      <c r="C33" s="25"/>
      <c r="D33" s="25"/>
      <c r="E33" s="25"/>
      <c r="F33" s="25"/>
      <c r="G33" s="25"/>
      <c r="H33" s="25"/>
      <c r="I33" s="25"/>
      <c r="J33" s="25"/>
    </row>
  </sheetData>
  <mergeCells count="7">
    <mergeCell ref="A1:J1"/>
    <mergeCell ref="A2:J2"/>
    <mergeCell ref="A5:A10"/>
    <mergeCell ref="A12:A17"/>
    <mergeCell ref="A19:A24"/>
    <mergeCell ref="A26:A31"/>
    <mergeCell ref="A33:J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7" min="5" style="0" width="16"/>
    <col collapsed="false" customWidth="true" hidden="false" outlineLevel="0" max="8" min="8" style="0" width="22"/>
  </cols>
  <sheetData>
    <row r="1" customFormat="false" ht="27.75" hidden="false" customHeight="true" outlineLevel="0" collapsed="false">
      <c r="A1" s="1" t="s">
        <v>23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24</v>
      </c>
      <c r="B2" s="2"/>
      <c r="C2" s="2"/>
      <c r="D2" s="2"/>
      <c r="E2" s="2"/>
      <c r="F2" s="2"/>
      <c r="G2" s="2"/>
      <c r="H2" s="2"/>
    </row>
    <row r="4" customFormat="false" ht="24" hidden="false" customHeight="true" outlineLevel="0" collapsed="false">
      <c r="A4" s="3" t="s">
        <v>2</v>
      </c>
      <c r="B4" s="3" t="s">
        <v>25</v>
      </c>
      <c r="C4" s="3" t="s">
        <v>26</v>
      </c>
      <c r="D4" s="3" t="s">
        <v>27</v>
      </c>
      <c r="E4" s="3" t="s">
        <v>14</v>
      </c>
      <c r="F4" s="3" t="s">
        <v>28</v>
      </c>
      <c r="G4" s="3" t="s">
        <v>29</v>
      </c>
      <c r="H4" s="3" t="s">
        <v>30</v>
      </c>
    </row>
    <row r="5" customFormat="false" ht="15" hidden="false" customHeight="false" outlineLevel="0" collapsed="false">
      <c r="A5" s="26" t="s">
        <v>12</v>
      </c>
      <c r="B5" s="27" t="n">
        <v>68</v>
      </c>
      <c r="C5" s="6" t="n">
        <v>3813</v>
      </c>
      <c r="D5" s="28" t="n">
        <v>3860</v>
      </c>
      <c r="E5" s="9" t="n">
        <v>4430</v>
      </c>
      <c r="F5" s="14" t="n">
        <f aca="false">IFERROR((D5-C5)/C5,0)</f>
        <v>0.012326252294781</v>
      </c>
      <c r="G5" s="29" t="n">
        <f aca="false">IFERROR((E5-C5)/C5,0)</f>
        <v>0.161814843954891</v>
      </c>
      <c r="H5" s="30" t="str">
        <f aca="false">IF(ABS(D5-C5)&lt;ABS(E5-C5),"План директора","Прогноз AI")</f>
        <v>План директора</v>
      </c>
    </row>
    <row r="6" customFormat="false" ht="15" hidden="false" customHeight="false" outlineLevel="0" collapsed="false">
      <c r="A6" s="31" t="s">
        <v>20</v>
      </c>
      <c r="B6" s="27" t="n">
        <v>69</v>
      </c>
      <c r="C6" s="6" t="n">
        <v>3340</v>
      </c>
      <c r="D6" s="28" t="n">
        <v>2095</v>
      </c>
      <c r="E6" s="9" t="n">
        <v>4471.7</v>
      </c>
      <c r="F6" s="14" t="n">
        <f aca="false">IFERROR((D6-C6)/C6,0)</f>
        <v>-0.372754491017964</v>
      </c>
      <c r="G6" s="29" t="n">
        <f aca="false">IFERROR((E6-C6)/C6,0)</f>
        <v>0.338832335329341</v>
      </c>
      <c r="H6" s="30" t="str">
        <f aca="false">IF(ABS(D6-C6)&lt;ABS(E6-C6),"План директора","Прогноз AI")</f>
        <v>Прогноз AI</v>
      </c>
    </row>
    <row r="7" customFormat="false" ht="15" hidden="false" customHeight="false" outlineLevel="0" collapsed="false">
      <c r="A7" s="32" t="s">
        <v>31</v>
      </c>
      <c r="B7" s="33" t="n">
        <f aca="false">SUM(B5:B6)</f>
        <v>137</v>
      </c>
      <c r="C7" s="33" t="n">
        <f aca="false">SUM(C5:C6)</f>
        <v>7153</v>
      </c>
      <c r="D7" s="33" t="n">
        <f aca="false">SUM(D5:D6)</f>
        <v>5955</v>
      </c>
      <c r="E7" s="34" t="n">
        <f aca="false">SUM(E5:E6)</f>
        <v>8901.7</v>
      </c>
      <c r="F7" s="35" t="n">
        <f aca="false">IFERROR((D7-C7)/C7,0)</f>
        <v>-0.167482175311058</v>
      </c>
      <c r="G7" s="35" t="n">
        <f aca="false">IFERROR((E7-C7)/C7,0)</f>
        <v>0.244470851391025</v>
      </c>
      <c r="H7" s="36" t="str">
        <f aca="false">IF(ABS(D7-C7)&lt;ABS(E7-C7),"План директора","Прогноз AI")</f>
        <v>План директора</v>
      </c>
    </row>
    <row r="9" customFormat="false" ht="90" hidden="false" customHeight="true" outlineLevel="0" collapsed="false">
      <c r="A9" s="25" t="s">
        <v>32</v>
      </c>
      <c r="B9" s="25"/>
      <c r="C9" s="25"/>
      <c r="D9" s="25"/>
      <c r="E9" s="25"/>
      <c r="F9" s="25"/>
      <c r="G9" s="25"/>
      <c r="H9" s="25"/>
    </row>
  </sheetData>
  <mergeCells count="3">
    <mergeCell ref="A1:H1"/>
    <mergeCell ref="A2:H2"/>
    <mergeCell ref="A9:H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10" min="4" style="0" width="11"/>
    <col collapsed="false" customWidth="true" hidden="false" outlineLevel="0" max="11" min="11" style="0" width="12"/>
  </cols>
  <sheetData>
    <row r="1" customFormat="false" ht="27.75" hidden="false" customHeight="true" outlineLevel="0" collapsed="false">
      <c r="A1" s="37" t="s">
        <v>33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3" customFormat="false" ht="15" hidden="false" customHeight="true" outlineLevel="0" collapsed="false">
      <c r="A3" s="38" t="s">
        <v>34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customFormat="false" ht="21.75" hidden="false" customHeight="true" outlineLevel="0" collapsed="false">
      <c r="A4" s="3" t="s">
        <v>3</v>
      </c>
      <c r="B4" s="3"/>
      <c r="C4" s="3"/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</row>
    <row r="5" customFormat="false" ht="15" hidden="false" customHeight="false" outlineLevel="0" collapsed="false">
      <c r="A5" s="39" t="s">
        <v>13</v>
      </c>
      <c r="B5" s="39"/>
      <c r="D5" s="6" t="n">
        <v>2306</v>
      </c>
      <c r="E5" s="6" t="n">
        <v>2539</v>
      </c>
      <c r="F5" s="6" t="n">
        <v>2213</v>
      </c>
      <c r="G5" s="6" t="n">
        <v>2883</v>
      </c>
      <c r="H5" s="6" t="n">
        <v>4078</v>
      </c>
      <c r="I5" s="6" t="n">
        <v>8629</v>
      </c>
      <c r="J5" s="6" t="n">
        <v>3813</v>
      </c>
      <c r="K5" s="7" t="n">
        <f aca="false">SUM(D5:J5)</f>
        <v>26461</v>
      </c>
    </row>
    <row r="6" customFormat="false" ht="15" hidden="false" customHeight="false" outlineLevel="0" collapsed="false">
      <c r="A6" s="40" t="s">
        <v>14</v>
      </c>
      <c r="B6" s="40"/>
      <c r="D6" s="9" t="n">
        <v>2418.2</v>
      </c>
      <c r="E6" s="9" t="n">
        <v>2598.5</v>
      </c>
      <c r="F6" s="9" t="n">
        <v>2878.3</v>
      </c>
      <c r="G6" s="9" t="n">
        <v>3483.9</v>
      </c>
      <c r="H6" s="9" t="n">
        <v>4120.6</v>
      </c>
      <c r="I6" s="9" t="n">
        <v>7949.2</v>
      </c>
      <c r="J6" s="9" t="n">
        <v>4430.4</v>
      </c>
      <c r="K6" s="10" t="n">
        <f aca="false">SUM(D6:J6)</f>
        <v>27879.1</v>
      </c>
    </row>
    <row r="7" customFormat="false" ht="15" hidden="false" customHeight="false" outlineLevel="0" collapsed="false">
      <c r="A7" s="41" t="s">
        <v>15</v>
      </c>
      <c r="B7" s="41"/>
      <c r="D7" s="12" t="n">
        <f aca="false">D6-D5</f>
        <v>112.2</v>
      </c>
      <c r="E7" s="12" t="n">
        <f aca="false">E6-E5</f>
        <v>59.5</v>
      </c>
      <c r="F7" s="12" t="n">
        <f aca="false">F6-F5</f>
        <v>665.3</v>
      </c>
      <c r="G7" s="12" t="n">
        <f aca="false">G6-G5</f>
        <v>600.9</v>
      </c>
      <c r="H7" s="12" t="n">
        <f aca="false">H6-H5</f>
        <v>42.6000000000004</v>
      </c>
      <c r="I7" s="12" t="n">
        <f aca="false">I6-I5</f>
        <v>-679.8</v>
      </c>
      <c r="J7" s="12" t="n">
        <f aca="false">J6-J5</f>
        <v>617.4</v>
      </c>
      <c r="K7" s="13" t="n">
        <f aca="false">SUM(D7:J7)</f>
        <v>1418.1</v>
      </c>
    </row>
    <row r="8" customFormat="false" ht="15" hidden="false" customHeight="false" outlineLevel="0" collapsed="false">
      <c r="A8" s="41" t="s">
        <v>16</v>
      </c>
      <c r="B8" s="41"/>
      <c r="D8" s="14" t="n">
        <f aca="false">IFERROR((D6-D5)/D5,0)</f>
        <v>0.0486556808326105</v>
      </c>
      <c r="E8" s="14" t="n">
        <f aca="false">IFERROR((E6-E5)/E5,0)</f>
        <v>0.0234344230011816</v>
      </c>
      <c r="F8" s="14" t="n">
        <f aca="false">IFERROR((F6-F5)/F5,0)</f>
        <v>0.300632625395391</v>
      </c>
      <c r="G8" s="14" t="n">
        <f aca="false">IFERROR((G6-G5)/G5,0)</f>
        <v>0.208428720083247</v>
      </c>
      <c r="H8" s="14" t="n">
        <f aca="false">IFERROR((H6-H5)/H5,0)</f>
        <v>0.0104462972045121</v>
      </c>
      <c r="I8" s="14" t="n">
        <f aca="false">IFERROR((I6-I5)/I5,0)</f>
        <v>-0.0787808552555337</v>
      </c>
      <c r="J8" s="14" t="n">
        <f aca="false">IFERROR((J6-J5)/J5,0)</f>
        <v>0.16191974822974</v>
      </c>
      <c r="K8" s="15" t="n">
        <f aca="false">IFERROR((SUM(D6:J6)-SUM(D5:J5))/SUM(D5:J5),0)</f>
        <v>0.0535920789085824</v>
      </c>
    </row>
    <row r="9" customFormat="false" ht="15" hidden="false" customHeight="false" outlineLevel="0" collapsed="false">
      <c r="A9" s="39" t="s">
        <v>17</v>
      </c>
      <c r="B9" s="39"/>
      <c r="D9" s="16" t="n">
        <v>584.3</v>
      </c>
      <c r="E9" s="16" t="n">
        <v>656.5</v>
      </c>
      <c r="F9" s="16" t="n">
        <v>605.3</v>
      </c>
      <c r="G9" s="16" t="n">
        <v>847.4</v>
      </c>
      <c r="H9" s="16" t="n">
        <v>1281.1</v>
      </c>
      <c r="I9" s="16" t="n">
        <v>3139.4</v>
      </c>
      <c r="J9" s="16" t="n">
        <v>1317.1</v>
      </c>
      <c r="K9" s="10" t="n">
        <f aca="false">SUM(D9:J9)</f>
        <v>8431.1</v>
      </c>
    </row>
    <row r="10" customFormat="false" ht="15" hidden="false" customHeight="false" outlineLevel="0" collapsed="false">
      <c r="A10" s="40" t="s">
        <v>18</v>
      </c>
      <c r="B10" s="40"/>
      <c r="D10" s="9" t="n">
        <v>635.7</v>
      </c>
      <c r="E10" s="9" t="n">
        <v>692.4</v>
      </c>
      <c r="F10" s="9" t="n">
        <v>760.9</v>
      </c>
      <c r="G10" s="9" t="n">
        <v>986.2</v>
      </c>
      <c r="H10" s="9" t="n">
        <v>1245.7</v>
      </c>
      <c r="I10" s="9" t="n">
        <v>2570.9</v>
      </c>
      <c r="J10" s="9" t="n">
        <v>1390.7</v>
      </c>
      <c r="K10" s="10" t="n">
        <f aca="false">SUM(D10:J10)</f>
        <v>8282.5</v>
      </c>
    </row>
    <row r="12" customFormat="false" ht="15" hidden="false" customHeight="true" outlineLevel="0" collapsed="false">
      <c r="A12" s="38" t="s">
        <v>35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</row>
    <row r="13" customFormat="false" ht="21.75" hidden="false" customHeight="true" outlineLevel="0" collapsed="false">
      <c r="A13" s="3" t="s">
        <v>36</v>
      </c>
      <c r="B13" s="3" t="s">
        <v>37</v>
      </c>
      <c r="C13" s="3" t="s">
        <v>3</v>
      </c>
      <c r="D13" s="3" t="s">
        <v>4</v>
      </c>
      <c r="E13" s="3" t="s">
        <v>5</v>
      </c>
      <c r="F13" s="3" t="s">
        <v>6</v>
      </c>
      <c r="G13" s="3" t="s">
        <v>7</v>
      </c>
      <c r="H13" s="3" t="s">
        <v>8</v>
      </c>
      <c r="I13" s="3" t="s">
        <v>9</v>
      </c>
      <c r="J13" s="3" t="s">
        <v>10</v>
      </c>
      <c r="K13" s="3" t="s">
        <v>38</v>
      </c>
    </row>
    <row r="14" customFormat="false" ht="15" hidden="false" customHeight="true" outlineLevel="0" collapsed="false">
      <c r="A14" s="42" t="s">
        <v>39</v>
      </c>
      <c r="B14" s="43" t="s">
        <v>40</v>
      </c>
      <c r="C14" s="5" t="s">
        <v>26</v>
      </c>
      <c r="D14" s="6" t="n">
        <v>14</v>
      </c>
      <c r="E14" s="6" t="n">
        <v>32</v>
      </c>
      <c r="F14" s="6" t="n">
        <v>35</v>
      </c>
      <c r="G14" s="6" t="n">
        <v>107</v>
      </c>
      <c r="H14" s="6" t="n">
        <v>201</v>
      </c>
      <c r="I14" s="6" t="n">
        <v>707</v>
      </c>
      <c r="J14" s="6" t="n">
        <v>301</v>
      </c>
      <c r="K14" s="7" t="n">
        <f aca="false">SUM(D14:J14)</f>
        <v>1397</v>
      </c>
    </row>
    <row r="15" customFormat="false" ht="15" hidden="false" customHeight="false" outlineLevel="0" collapsed="false">
      <c r="A15" s="42"/>
      <c r="B15" s="42"/>
      <c r="C15" s="44" t="s">
        <v>14</v>
      </c>
      <c r="D15" s="9" t="n">
        <v>27.2</v>
      </c>
      <c r="E15" s="9" t="n">
        <v>39.9</v>
      </c>
      <c r="F15" s="9" t="n">
        <v>55.1</v>
      </c>
      <c r="G15" s="9" t="n">
        <v>87.3</v>
      </c>
      <c r="H15" s="9" t="n">
        <v>169.6</v>
      </c>
      <c r="I15" s="9" t="n">
        <v>321</v>
      </c>
      <c r="J15" s="9" t="n">
        <v>203</v>
      </c>
      <c r="K15" s="10" t="n">
        <f aca="false">SUM(D15:J15)</f>
        <v>903.1</v>
      </c>
    </row>
    <row r="16" customFormat="false" ht="15" hidden="false" customHeight="false" outlineLevel="0" collapsed="false">
      <c r="A16" s="42"/>
      <c r="B16" s="42"/>
      <c r="C16" s="11" t="s">
        <v>41</v>
      </c>
      <c r="D16" s="14" t="n">
        <f aca="false">IFERROR((D15-D14)/D14,0)</f>
        <v>0.942857142857143</v>
      </c>
      <c r="E16" s="14" t="n">
        <f aca="false">IFERROR((E15-E14)/E14,0)</f>
        <v>0.246875</v>
      </c>
      <c r="F16" s="14" t="n">
        <f aca="false">IFERROR((F15-F14)/F14,0)</f>
        <v>0.574285714285714</v>
      </c>
      <c r="G16" s="14" t="n">
        <f aca="false">IFERROR((G15-G14)/G14,0)</f>
        <v>-0.18411214953271</v>
      </c>
      <c r="H16" s="14" t="n">
        <f aca="false">IFERROR((H15-H14)/H14,0)</f>
        <v>-0.156218905472637</v>
      </c>
      <c r="I16" s="14" t="n">
        <f aca="false">IFERROR((I15-I14)/I14,0)</f>
        <v>-0.545968882602546</v>
      </c>
      <c r="J16" s="14" t="n">
        <f aca="false">IFERROR((J15-J14)/J14,0)</f>
        <v>-0.325581395348837</v>
      </c>
      <c r="K16" s="15" t="n">
        <f aca="false">IFERROR((SUM(D15:J15)-SUM(D14:J14))/SUM(D14:J14),0)</f>
        <v>-0.353543307086614</v>
      </c>
    </row>
    <row r="17" customFormat="false" ht="15" hidden="false" customHeight="true" outlineLevel="0" collapsed="false">
      <c r="A17" s="42" t="s">
        <v>42</v>
      </c>
      <c r="B17" s="43" t="s">
        <v>43</v>
      </c>
      <c r="C17" s="5" t="s">
        <v>26</v>
      </c>
      <c r="D17" s="6" t="n">
        <v>128</v>
      </c>
      <c r="E17" s="6" t="n">
        <v>138</v>
      </c>
      <c r="F17" s="6" t="n">
        <v>99</v>
      </c>
      <c r="G17" s="6" t="n">
        <v>161</v>
      </c>
      <c r="H17" s="6" t="n">
        <v>230</v>
      </c>
      <c r="I17" s="6" t="n">
        <v>201</v>
      </c>
      <c r="J17" s="6" t="n">
        <v>106</v>
      </c>
      <c r="K17" s="7" t="n">
        <f aca="false">SUM(D17:J17)</f>
        <v>1063</v>
      </c>
    </row>
    <row r="18" customFormat="false" ht="15" hidden="false" customHeight="false" outlineLevel="0" collapsed="false">
      <c r="A18" s="42"/>
      <c r="B18" s="42"/>
      <c r="C18" s="44" t="s">
        <v>14</v>
      </c>
      <c r="D18" s="9" t="n">
        <v>110</v>
      </c>
      <c r="E18" s="9" t="n">
        <v>115.9</v>
      </c>
      <c r="F18" s="9" t="n">
        <v>134.9</v>
      </c>
      <c r="G18" s="9" t="n">
        <v>150.6</v>
      </c>
      <c r="H18" s="9" t="n">
        <v>188.8</v>
      </c>
      <c r="I18" s="9" t="n">
        <v>310.2</v>
      </c>
      <c r="J18" s="9" t="n">
        <v>134.4</v>
      </c>
      <c r="K18" s="10" t="n">
        <f aca="false">SUM(D18:J18)</f>
        <v>1144.8</v>
      </c>
    </row>
    <row r="19" customFormat="false" ht="15" hidden="false" customHeight="false" outlineLevel="0" collapsed="false">
      <c r="A19" s="42"/>
      <c r="B19" s="42"/>
      <c r="C19" s="11" t="s">
        <v>41</v>
      </c>
      <c r="D19" s="14" t="n">
        <f aca="false">IFERROR((D18-D17)/D17,0)</f>
        <v>-0.140625</v>
      </c>
      <c r="E19" s="14" t="n">
        <f aca="false">IFERROR((E18-E17)/E17,0)</f>
        <v>-0.160144927536232</v>
      </c>
      <c r="F19" s="14" t="n">
        <f aca="false">IFERROR((F18-F17)/F17,0)</f>
        <v>0.362626262626263</v>
      </c>
      <c r="G19" s="14" t="n">
        <f aca="false">IFERROR((G18-G17)/G17,0)</f>
        <v>-0.0645962732919255</v>
      </c>
      <c r="H19" s="14" t="n">
        <f aca="false">IFERROR((H18-H17)/H17,0)</f>
        <v>-0.179130434782609</v>
      </c>
      <c r="I19" s="14" t="n">
        <f aca="false">IFERROR((I18-I17)/I17,0)</f>
        <v>0.543283582089552</v>
      </c>
      <c r="J19" s="14" t="n">
        <f aca="false">IFERROR((J18-J17)/J17,0)</f>
        <v>0.267924528301887</v>
      </c>
      <c r="K19" s="15" t="n">
        <f aca="false">IFERROR((SUM(D18:J18)-SUM(D17:J17))/SUM(D17:J17),0)</f>
        <v>0.0769520225776105</v>
      </c>
    </row>
    <row r="20" customFormat="false" ht="15" hidden="false" customHeight="true" outlineLevel="0" collapsed="false">
      <c r="A20" s="42" t="s">
        <v>44</v>
      </c>
      <c r="B20" s="43" t="s">
        <v>45</v>
      </c>
      <c r="C20" s="5" t="s">
        <v>26</v>
      </c>
      <c r="D20" s="6" t="n">
        <v>53</v>
      </c>
      <c r="E20" s="6" t="n">
        <v>68</v>
      </c>
      <c r="F20" s="6" t="n">
        <v>67</v>
      </c>
      <c r="G20" s="6" t="n">
        <v>93</v>
      </c>
      <c r="H20" s="6" t="n">
        <v>179</v>
      </c>
      <c r="I20" s="6" t="n">
        <v>359</v>
      </c>
      <c r="J20" s="6" t="n">
        <v>136</v>
      </c>
      <c r="K20" s="7" t="n">
        <f aca="false">SUM(D20:J20)</f>
        <v>955</v>
      </c>
    </row>
    <row r="21" customFormat="false" ht="15" hidden="false" customHeight="false" outlineLevel="0" collapsed="false">
      <c r="A21" s="42"/>
      <c r="B21" s="42"/>
      <c r="C21" s="44" t="s">
        <v>14</v>
      </c>
      <c r="D21" s="9" t="n">
        <v>74</v>
      </c>
      <c r="E21" s="9" t="n">
        <v>70</v>
      </c>
      <c r="F21" s="9" t="n">
        <v>71.5</v>
      </c>
      <c r="G21" s="9" t="n">
        <v>91.6</v>
      </c>
      <c r="H21" s="9" t="n">
        <v>109.1</v>
      </c>
      <c r="I21" s="9" t="n">
        <v>235.3</v>
      </c>
      <c r="J21" s="9" t="n">
        <v>110.4</v>
      </c>
      <c r="K21" s="10" t="n">
        <f aca="false">SUM(D21:J21)</f>
        <v>761.9</v>
      </c>
    </row>
    <row r="22" customFormat="false" ht="15" hidden="false" customHeight="false" outlineLevel="0" collapsed="false">
      <c r="A22" s="42"/>
      <c r="B22" s="42"/>
      <c r="C22" s="11" t="s">
        <v>41</v>
      </c>
      <c r="D22" s="14" t="n">
        <f aca="false">IFERROR((D21-D20)/D20,0)</f>
        <v>0.39622641509434</v>
      </c>
      <c r="E22" s="14" t="n">
        <f aca="false">IFERROR((E21-E20)/E20,0)</f>
        <v>0.0294117647058824</v>
      </c>
      <c r="F22" s="14" t="n">
        <f aca="false">IFERROR((F21-F20)/F20,0)</f>
        <v>0.0671641791044776</v>
      </c>
      <c r="G22" s="14" t="n">
        <f aca="false">IFERROR((G21-G20)/G20,0)</f>
        <v>-0.0150537634408603</v>
      </c>
      <c r="H22" s="14" t="n">
        <f aca="false">IFERROR((H21-H20)/H20,0)</f>
        <v>-0.390502793296089</v>
      </c>
      <c r="I22" s="14" t="n">
        <f aca="false">IFERROR((I21-I20)/I20,0)</f>
        <v>-0.344568245125348</v>
      </c>
      <c r="J22" s="14" t="n">
        <f aca="false">IFERROR((J21-J20)/J20,0)</f>
        <v>-0.188235294117647</v>
      </c>
      <c r="K22" s="15" t="n">
        <f aca="false">IFERROR((SUM(D21:J21)-SUM(D20:J20))/SUM(D20:J20),0)</f>
        <v>-0.202198952879581</v>
      </c>
    </row>
    <row r="23" customFormat="false" ht="15" hidden="false" customHeight="true" outlineLevel="0" collapsed="false">
      <c r="A23" s="42" t="s">
        <v>46</v>
      </c>
      <c r="B23" s="43" t="s">
        <v>47</v>
      </c>
      <c r="C23" s="5" t="s">
        <v>26</v>
      </c>
      <c r="D23" s="6" t="n">
        <v>41</v>
      </c>
      <c r="E23" s="6" t="n">
        <v>65</v>
      </c>
      <c r="F23" s="6" t="n">
        <v>60</v>
      </c>
      <c r="G23" s="6" t="n">
        <v>78</v>
      </c>
      <c r="H23" s="6" t="n">
        <v>152</v>
      </c>
      <c r="I23" s="6" t="n">
        <v>412</v>
      </c>
      <c r="J23" s="6" t="n">
        <v>142</v>
      </c>
      <c r="K23" s="7" t="n">
        <f aca="false">SUM(D23:J23)</f>
        <v>950</v>
      </c>
    </row>
    <row r="24" customFormat="false" ht="15" hidden="false" customHeight="false" outlineLevel="0" collapsed="false">
      <c r="A24" s="42"/>
      <c r="B24" s="42"/>
      <c r="C24" s="44" t="s">
        <v>14</v>
      </c>
      <c r="D24" s="9" t="n">
        <v>40.4</v>
      </c>
      <c r="E24" s="9" t="n">
        <v>53.1</v>
      </c>
      <c r="F24" s="9" t="n">
        <v>62.5</v>
      </c>
      <c r="G24" s="9" t="n">
        <v>83.5</v>
      </c>
      <c r="H24" s="9" t="n">
        <v>116.3</v>
      </c>
      <c r="I24" s="9" t="n">
        <v>251.7</v>
      </c>
      <c r="J24" s="9" t="n">
        <v>125</v>
      </c>
      <c r="K24" s="10" t="n">
        <f aca="false">SUM(D24:J24)</f>
        <v>732.5</v>
      </c>
    </row>
    <row r="25" customFormat="false" ht="15" hidden="false" customHeight="false" outlineLevel="0" collapsed="false">
      <c r="A25" s="42"/>
      <c r="B25" s="42"/>
      <c r="C25" s="11" t="s">
        <v>41</v>
      </c>
      <c r="D25" s="14" t="n">
        <f aca="false">IFERROR((D24-D23)/D23,0)</f>
        <v>-0.0146341463414634</v>
      </c>
      <c r="E25" s="14" t="n">
        <f aca="false">IFERROR((E24-E23)/E23,0)</f>
        <v>-0.183076923076923</v>
      </c>
      <c r="F25" s="14" t="n">
        <f aca="false">IFERROR((F24-F23)/F23,0)</f>
        <v>0.0416666666666667</v>
      </c>
      <c r="G25" s="14" t="n">
        <f aca="false">IFERROR((G24-G23)/G23,0)</f>
        <v>0.0705128205128205</v>
      </c>
      <c r="H25" s="14" t="n">
        <f aca="false">IFERROR((H24-H23)/H23,0)</f>
        <v>-0.234868421052632</v>
      </c>
      <c r="I25" s="14" t="n">
        <f aca="false">IFERROR((I24-I23)/I23,0)</f>
        <v>-0.389077669902913</v>
      </c>
      <c r="J25" s="14" t="n">
        <f aca="false">IFERROR((J24-J23)/J23,0)</f>
        <v>-0.119718309859155</v>
      </c>
      <c r="K25" s="15" t="n">
        <f aca="false">IFERROR((SUM(D24:J24)-SUM(D23:J23))/SUM(D23:J23),0)</f>
        <v>-0.228947368421053</v>
      </c>
    </row>
    <row r="26" customFormat="false" ht="15" hidden="false" customHeight="true" outlineLevel="0" collapsed="false">
      <c r="A26" s="42" t="s">
        <v>48</v>
      </c>
      <c r="B26" s="43" t="s">
        <v>49</v>
      </c>
      <c r="C26" s="5" t="s">
        <v>26</v>
      </c>
      <c r="D26" s="6" t="n">
        <v>19</v>
      </c>
      <c r="E26" s="6" t="n">
        <v>28</v>
      </c>
      <c r="F26" s="6" t="n">
        <v>47</v>
      </c>
      <c r="G26" s="6" t="n">
        <v>81</v>
      </c>
      <c r="H26" s="6" t="n">
        <v>142</v>
      </c>
      <c r="I26" s="6" t="n">
        <v>410</v>
      </c>
      <c r="J26" s="6" t="n">
        <v>207</v>
      </c>
      <c r="K26" s="7" t="n">
        <f aca="false">SUM(D26:J26)</f>
        <v>934</v>
      </c>
    </row>
    <row r="27" customFormat="false" ht="15" hidden="false" customHeight="false" outlineLevel="0" collapsed="false">
      <c r="A27" s="42"/>
      <c r="B27" s="42"/>
      <c r="C27" s="44" t="s">
        <v>14</v>
      </c>
      <c r="D27" s="9" t="n">
        <v>25.9</v>
      </c>
      <c r="E27" s="9" t="n">
        <v>49.7</v>
      </c>
      <c r="F27" s="9" t="n">
        <v>59.8</v>
      </c>
      <c r="G27" s="9" t="n">
        <v>88.1</v>
      </c>
      <c r="H27" s="9" t="n">
        <v>140.1</v>
      </c>
      <c r="I27" s="9" t="n">
        <v>314.1</v>
      </c>
      <c r="J27" s="9" t="n">
        <v>182.9</v>
      </c>
      <c r="K27" s="10" t="n">
        <f aca="false">SUM(D27:J27)</f>
        <v>860.6</v>
      </c>
    </row>
    <row r="28" customFormat="false" ht="15" hidden="false" customHeight="false" outlineLevel="0" collapsed="false">
      <c r="A28" s="42"/>
      <c r="B28" s="42"/>
      <c r="C28" s="11" t="s">
        <v>41</v>
      </c>
      <c r="D28" s="14" t="n">
        <f aca="false">IFERROR((D27-D26)/D26,0)</f>
        <v>0.363157894736842</v>
      </c>
      <c r="E28" s="14" t="n">
        <f aca="false">IFERROR((E27-E26)/E26,0)</f>
        <v>0.775</v>
      </c>
      <c r="F28" s="14" t="n">
        <f aca="false">IFERROR((F27-F26)/F26,0)</f>
        <v>0.272340425531915</v>
      </c>
      <c r="G28" s="14" t="n">
        <f aca="false">IFERROR((G27-G26)/G26,0)</f>
        <v>0.0876543209876542</v>
      </c>
      <c r="H28" s="14" t="n">
        <f aca="false">IFERROR((H27-H26)/H26,0)</f>
        <v>-0.0133802816901409</v>
      </c>
      <c r="I28" s="14" t="n">
        <f aca="false">IFERROR((I27-I26)/I26,0)</f>
        <v>-0.23390243902439</v>
      </c>
      <c r="J28" s="14" t="n">
        <f aca="false">IFERROR((J27-J26)/J26,0)</f>
        <v>-0.116425120772947</v>
      </c>
      <c r="K28" s="15" t="n">
        <f aca="false">IFERROR((SUM(D27:J27)-SUM(D26:J26))/SUM(D26:J26),0)</f>
        <v>-0.0785867237687366</v>
      </c>
    </row>
    <row r="29" customFormat="false" ht="15" hidden="false" customHeight="true" outlineLevel="0" collapsed="false">
      <c r="A29" s="42" t="s">
        <v>50</v>
      </c>
      <c r="B29" s="43" t="s">
        <v>49</v>
      </c>
      <c r="C29" s="5" t="s">
        <v>26</v>
      </c>
      <c r="D29" s="6" t="n">
        <v>41</v>
      </c>
      <c r="E29" s="6" t="n">
        <v>38</v>
      </c>
      <c r="F29" s="6" t="n">
        <v>37</v>
      </c>
      <c r="G29" s="6" t="n">
        <v>55</v>
      </c>
      <c r="H29" s="6" t="n">
        <v>118</v>
      </c>
      <c r="I29" s="6" t="n">
        <v>373</v>
      </c>
      <c r="J29" s="6" t="n">
        <v>173</v>
      </c>
      <c r="K29" s="7" t="n">
        <f aca="false">SUM(D29:J29)</f>
        <v>835</v>
      </c>
    </row>
    <row r="30" customFormat="false" ht="15" hidden="false" customHeight="false" outlineLevel="0" collapsed="false">
      <c r="A30" s="42"/>
      <c r="B30" s="42"/>
      <c r="C30" s="44" t="s">
        <v>14</v>
      </c>
      <c r="D30" s="9" t="n">
        <v>65.8</v>
      </c>
      <c r="E30" s="9" t="n">
        <v>57</v>
      </c>
      <c r="F30" s="9" t="n">
        <v>55.8</v>
      </c>
      <c r="G30" s="9" t="n">
        <v>63.5</v>
      </c>
      <c r="H30" s="9" t="n">
        <v>117.8</v>
      </c>
      <c r="I30" s="9" t="n">
        <v>246.9</v>
      </c>
      <c r="J30" s="9" t="n">
        <v>156.8</v>
      </c>
      <c r="K30" s="10" t="n">
        <f aca="false">SUM(D30:J30)</f>
        <v>763.6</v>
      </c>
    </row>
    <row r="31" customFormat="false" ht="15" hidden="false" customHeight="false" outlineLevel="0" collapsed="false">
      <c r="A31" s="42"/>
      <c r="B31" s="42"/>
      <c r="C31" s="11" t="s">
        <v>41</v>
      </c>
      <c r="D31" s="14" t="n">
        <f aca="false">IFERROR((D30-D29)/D29,0)</f>
        <v>0.604878048780488</v>
      </c>
      <c r="E31" s="14" t="n">
        <f aca="false">IFERROR((E30-E29)/E29,0)</f>
        <v>0.5</v>
      </c>
      <c r="F31" s="14" t="n">
        <f aca="false">IFERROR((F30-F29)/F29,0)</f>
        <v>0.508108108108108</v>
      </c>
      <c r="G31" s="14" t="n">
        <f aca="false">IFERROR((G30-G29)/G29,0)</f>
        <v>0.154545454545455</v>
      </c>
      <c r="H31" s="14" t="n">
        <f aca="false">IFERROR((H30-H29)/H29,0)</f>
        <v>-0.00169491525423731</v>
      </c>
      <c r="I31" s="14" t="n">
        <f aca="false">IFERROR((I30-I29)/I29,0)</f>
        <v>-0.338069705093834</v>
      </c>
      <c r="J31" s="14" t="n">
        <f aca="false">IFERROR((J30-J29)/J29,0)</f>
        <v>-0.0936416184971098</v>
      </c>
      <c r="K31" s="15" t="n">
        <f aca="false">IFERROR((SUM(D30:J30)-SUM(D29:J29))/SUM(D29:J29),0)</f>
        <v>-0.0855089820359283</v>
      </c>
    </row>
    <row r="32" customFormat="false" ht="15" hidden="false" customHeight="true" outlineLevel="0" collapsed="false">
      <c r="A32" s="42" t="s">
        <v>51</v>
      </c>
      <c r="B32" s="43" t="s">
        <v>52</v>
      </c>
      <c r="C32" s="5" t="s">
        <v>26</v>
      </c>
      <c r="D32" s="6" t="n">
        <v>79</v>
      </c>
      <c r="E32" s="6" t="n">
        <v>96</v>
      </c>
      <c r="F32" s="6" t="n">
        <v>92</v>
      </c>
      <c r="G32" s="6" t="n">
        <v>90</v>
      </c>
      <c r="H32" s="6" t="n">
        <v>133</v>
      </c>
      <c r="I32" s="6" t="n">
        <v>174</v>
      </c>
      <c r="J32" s="6" t="n">
        <v>101</v>
      </c>
      <c r="K32" s="7" t="n">
        <f aca="false">SUM(D32:J32)</f>
        <v>765</v>
      </c>
    </row>
    <row r="33" customFormat="false" ht="15" hidden="false" customHeight="false" outlineLevel="0" collapsed="false">
      <c r="A33" s="42"/>
      <c r="B33" s="42"/>
      <c r="C33" s="44" t="s">
        <v>14</v>
      </c>
      <c r="D33" s="9" t="n">
        <v>80.6</v>
      </c>
      <c r="E33" s="9" t="n">
        <v>83.9</v>
      </c>
      <c r="F33" s="9" t="n">
        <v>111.8</v>
      </c>
      <c r="G33" s="9" t="n">
        <v>117</v>
      </c>
      <c r="H33" s="9" t="n">
        <v>124.3</v>
      </c>
      <c r="I33" s="9" t="n">
        <v>241.5</v>
      </c>
      <c r="J33" s="9" t="n">
        <v>119.9</v>
      </c>
      <c r="K33" s="10" t="n">
        <f aca="false">SUM(D33:J33)</f>
        <v>879</v>
      </c>
    </row>
    <row r="34" customFormat="false" ht="15" hidden="false" customHeight="false" outlineLevel="0" collapsed="false">
      <c r="A34" s="42"/>
      <c r="B34" s="42"/>
      <c r="C34" s="11" t="s">
        <v>41</v>
      </c>
      <c r="D34" s="14" t="n">
        <f aca="false">IFERROR((D33-D32)/D32,0)</f>
        <v>0.020253164556962</v>
      </c>
      <c r="E34" s="14" t="n">
        <f aca="false">IFERROR((E33-E32)/E32,0)</f>
        <v>-0.126041666666667</v>
      </c>
      <c r="F34" s="14" t="n">
        <f aca="false">IFERROR((F33-F32)/F32,0)</f>
        <v>0.215217391304348</v>
      </c>
      <c r="G34" s="14" t="n">
        <f aca="false">IFERROR((G33-G32)/G32,0)</f>
        <v>0.3</v>
      </c>
      <c r="H34" s="14" t="n">
        <f aca="false">IFERROR((H33-H32)/H32,0)</f>
        <v>-0.0654135338345865</v>
      </c>
      <c r="I34" s="14" t="n">
        <f aca="false">IFERROR((I33-I32)/I32,0)</f>
        <v>0.387931034482759</v>
      </c>
      <c r="J34" s="14" t="n">
        <f aca="false">IFERROR((J33-J32)/J32,0)</f>
        <v>0.187128712871287</v>
      </c>
      <c r="K34" s="15" t="n">
        <f aca="false">IFERROR((SUM(D33:J33)-SUM(D32:J32))/SUM(D32:J32),0)</f>
        <v>0.149019607843137</v>
      </c>
    </row>
    <row r="35" customFormat="false" ht="15" hidden="false" customHeight="true" outlineLevel="0" collapsed="false">
      <c r="A35" s="42" t="s">
        <v>53</v>
      </c>
      <c r="B35" s="43" t="s">
        <v>54</v>
      </c>
      <c r="C35" s="5" t="s">
        <v>26</v>
      </c>
      <c r="D35" s="6" t="n">
        <v>116</v>
      </c>
      <c r="E35" s="6" t="n">
        <v>114</v>
      </c>
      <c r="F35" s="6" t="n">
        <v>77</v>
      </c>
      <c r="G35" s="6" t="n">
        <v>90</v>
      </c>
      <c r="H35" s="6" t="n">
        <v>112</v>
      </c>
      <c r="I35" s="6" t="n">
        <v>142</v>
      </c>
      <c r="J35" s="6" t="n">
        <v>89</v>
      </c>
      <c r="K35" s="7" t="n">
        <f aca="false">SUM(D35:J35)</f>
        <v>740</v>
      </c>
    </row>
    <row r="36" customFormat="false" ht="15" hidden="false" customHeight="false" outlineLevel="0" collapsed="false">
      <c r="A36" s="42"/>
      <c r="B36" s="42"/>
      <c r="C36" s="44" t="s">
        <v>14</v>
      </c>
      <c r="D36" s="9" t="n">
        <v>112.4</v>
      </c>
      <c r="E36" s="9" t="n">
        <v>112.9</v>
      </c>
      <c r="F36" s="9" t="n">
        <v>131.5</v>
      </c>
      <c r="G36" s="9" t="n">
        <v>117.7</v>
      </c>
      <c r="H36" s="9" t="n">
        <v>117.5</v>
      </c>
      <c r="I36" s="9" t="n">
        <v>191.6</v>
      </c>
      <c r="J36" s="9" t="n">
        <v>132.1</v>
      </c>
      <c r="K36" s="10" t="n">
        <f aca="false">SUM(D36:J36)</f>
        <v>915.7</v>
      </c>
    </row>
    <row r="37" customFormat="false" ht="15" hidden="false" customHeight="false" outlineLevel="0" collapsed="false">
      <c r="A37" s="42"/>
      <c r="B37" s="42"/>
      <c r="C37" s="11" t="s">
        <v>41</v>
      </c>
      <c r="D37" s="14" t="n">
        <f aca="false">IFERROR((D36-D35)/D35,0)</f>
        <v>-0.0310344827586206</v>
      </c>
      <c r="E37" s="14" t="n">
        <f aca="false">IFERROR((E36-E35)/E35,0)</f>
        <v>-0.00964912280701749</v>
      </c>
      <c r="F37" s="14" t="n">
        <f aca="false">IFERROR((F36-F35)/F35,0)</f>
        <v>0.707792207792208</v>
      </c>
      <c r="G37" s="14" t="n">
        <f aca="false">IFERROR((G36-G35)/G35,0)</f>
        <v>0.307777777777778</v>
      </c>
      <c r="H37" s="14" t="n">
        <f aca="false">IFERROR((H36-H35)/H35,0)</f>
        <v>0.0491071428571429</v>
      </c>
      <c r="I37" s="14" t="n">
        <f aca="false">IFERROR((I36-I35)/I35,0)</f>
        <v>0.349295774647887</v>
      </c>
      <c r="J37" s="14" t="n">
        <f aca="false">IFERROR((J36-J35)/J35,0)</f>
        <v>0.484269662921348</v>
      </c>
      <c r="K37" s="15" t="n">
        <f aca="false">IFERROR((SUM(D36:J36)-SUM(D35:J35))/SUM(D35:J35),0)</f>
        <v>0.237432432432433</v>
      </c>
    </row>
    <row r="38" customFormat="false" ht="15" hidden="false" customHeight="true" outlineLevel="0" collapsed="false">
      <c r="A38" s="42" t="s">
        <v>55</v>
      </c>
      <c r="B38" s="43" t="s">
        <v>47</v>
      </c>
      <c r="C38" s="5" t="s">
        <v>26</v>
      </c>
      <c r="D38" s="6" t="n">
        <v>81</v>
      </c>
      <c r="E38" s="6" t="n">
        <v>106</v>
      </c>
      <c r="F38" s="6" t="n">
        <v>87</v>
      </c>
      <c r="G38" s="6" t="n">
        <v>87</v>
      </c>
      <c r="H38" s="6" t="n">
        <v>100</v>
      </c>
      <c r="I38" s="6" t="n">
        <v>169</v>
      </c>
      <c r="J38" s="6" t="n">
        <v>95</v>
      </c>
      <c r="K38" s="7" t="n">
        <f aca="false">SUM(D38:J38)</f>
        <v>725</v>
      </c>
    </row>
    <row r="39" customFormat="false" ht="15" hidden="false" customHeight="false" outlineLevel="0" collapsed="false">
      <c r="A39" s="42"/>
      <c r="B39" s="42"/>
      <c r="C39" s="44" t="s">
        <v>14</v>
      </c>
      <c r="D39" s="9" t="n">
        <v>69.5</v>
      </c>
      <c r="E39" s="9" t="n">
        <v>87</v>
      </c>
      <c r="F39" s="9" t="n">
        <v>112.7</v>
      </c>
      <c r="G39" s="9" t="n">
        <v>116.6</v>
      </c>
      <c r="H39" s="9" t="n">
        <v>114.4</v>
      </c>
      <c r="I39" s="9" t="n">
        <v>212.7</v>
      </c>
      <c r="J39" s="9" t="n">
        <v>132.5</v>
      </c>
      <c r="K39" s="10" t="n">
        <f aca="false">SUM(D39:J39)</f>
        <v>845.4</v>
      </c>
    </row>
    <row r="40" customFormat="false" ht="15" hidden="false" customHeight="false" outlineLevel="0" collapsed="false">
      <c r="A40" s="42"/>
      <c r="B40" s="42"/>
      <c r="C40" s="11" t="s">
        <v>41</v>
      </c>
      <c r="D40" s="14" t="n">
        <f aca="false">IFERROR((D39-D38)/D38,0)</f>
        <v>-0.141975308641975</v>
      </c>
      <c r="E40" s="14" t="n">
        <f aca="false">IFERROR((E39-E38)/E38,0)</f>
        <v>-0.179245283018868</v>
      </c>
      <c r="F40" s="14" t="n">
        <f aca="false">IFERROR((F39-F38)/F38,0)</f>
        <v>0.295402298850575</v>
      </c>
      <c r="G40" s="14" t="n">
        <f aca="false">IFERROR((G39-G38)/G38,0)</f>
        <v>0.340229885057471</v>
      </c>
      <c r="H40" s="14" t="n">
        <f aca="false">IFERROR((H39-H38)/H38,0)</f>
        <v>0.144</v>
      </c>
      <c r="I40" s="14" t="n">
        <f aca="false">IFERROR((I39-I38)/I38,0)</f>
        <v>0.258579881656805</v>
      </c>
      <c r="J40" s="14" t="n">
        <f aca="false">IFERROR((J39-J38)/J38,0)</f>
        <v>0.394736842105263</v>
      </c>
      <c r="K40" s="15" t="n">
        <f aca="false">IFERROR((SUM(D39:J39)-SUM(D38:J38))/SUM(D38:J38),0)</f>
        <v>0.166068965517241</v>
      </c>
    </row>
    <row r="41" customFormat="false" ht="15" hidden="false" customHeight="true" outlineLevel="0" collapsed="false">
      <c r="A41" s="42" t="s">
        <v>56</v>
      </c>
      <c r="B41" s="43" t="s">
        <v>47</v>
      </c>
      <c r="C41" s="5" t="s">
        <v>26</v>
      </c>
      <c r="D41" s="6" t="n">
        <v>40</v>
      </c>
      <c r="E41" s="6" t="n">
        <v>42</v>
      </c>
      <c r="F41" s="6" t="n">
        <v>41</v>
      </c>
      <c r="G41" s="6" t="n">
        <v>91</v>
      </c>
      <c r="H41" s="6" t="n">
        <v>108</v>
      </c>
      <c r="I41" s="6" t="n">
        <v>258</v>
      </c>
      <c r="J41" s="6" t="n">
        <v>109</v>
      </c>
      <c r="K41" s="7" t="n">
        <f aca="false">SUM(D41:J41)</f>
        <v>689</v>
      </c>
    </row>
    <row r="42" customFormat="false" ht="15" hidden="false" customHeight="false" outlineLevel="0" collapsed="false">
      <c r="A42" s="42"/>
      <c r="B42" s="42"/>
      <c r="C42" s="44" t="s">
        <v>14</v>
      </c>
      <c r="D42" s="9" t="n">
        <v>34.2</v>
      </c>
      <c r="E42" s="9" t="n">
        <v>40.8</v>
      </c>
      <c r="F42" s="9" t="n">
        <v>54.5</v>
      </c>
      <c r="G42" s="9" t="n">
        <v>76.8</v>
      </c>
      <c r="H42" s="9" t="n">
        <v>100.3</v>
      </c>
      <c r="I42" s="9" t="n">
        <v>189.2</v>
      </c>
      <c r="J42" s="9" t="n">
        <v>131.4</v>
      </c>
      <c r="K42" s="10" t="n">
        <f aca="false">SUM(D42:J42)</f>
        <v>627.2</v>
      </c>
    </row>
    <row r="43" customFormat="false" ht="15" hidden="false" customHeight="false" outlineLevel="0" collapsed="false">
      <c r="A43" s="42"/>
      <c r="B43" s="42"/>
      <c r="C43" s="11" t="s">
        <v>41</v>
      </c>
      <c r="D43" s="14" t="n">
        <f aca="false">IFERROR((D42-D41)/D41,0)</f>
        <v>-0.145</v>
      </c>
      <c r="E43" s="14" t="n">
        <f aca="false">IFERROR((E42-E41)/E41,0)</f>
        <v>-0.0285714285714286</v>
      </c>
      <c r="F43" s="14" t="n">
        <f aca="false">IFERROR((F42-F41)/F41,0)</f>
        <v>0.329268292682927</v>
      </c>
      <c r="G43" s="14" t="n">
        <f aca="false">IFERROR((G42-G41)/G41,0)</f>
        <v>-0.156043956043956</v>
      </c>
      <c r="H43" s="14" t="n">
        <f aca="false">IFERROR((H42-H41)/H41,0)</f>
        <v>-0.0712962962962963</v>
      </c>
      <c r="I43" s="14" t="n">
        <f aca="false">IFERROR((I42-I41)/I41,0)</f>
        <v>-0.266666666666667</v>
      </c>
      <c r="J43" s="14" t="n">
        <f aca="false">IFERROR((J42-J41)/J41,0)</f>
        <v>0.205504587155963</v>
      </c>
      <c r="K43" s="15" t="n">
        <f aca="false">IFERROR((SUM(D42:J42)-SUM(D41:J41))/SUM(D41:J41),0)</f>
        <v>-0.0896952104499275</v>
      </c>
    </row>
    <row r="44" customFormat="false" ht="15" hidden="false" customHeight="true" outlineLevel="0" collapsed="false">
      <c r="A44" s="42" t="s">
        <v>57</v>
      </c>
      <c r="B44" s="43" t="s">
        <v>58</v>
      </c>
      <c r="C44" s="5" t="s">
        <v>26</v>
      </c>
      <c r="D44" s="6" t="n">
        <v>95</v>
      </c>
      <c r="E44" s="6" t="n">
        <v>89</v>
      </c>
      <c r="F44" s="6" t="n">
        <v>71</v>
      </c>
      <c r="G44" s="6" t="n">
        <v>71</v>
      </c>
      <c r="H44" s="6" t="n">
        <v>92</v>
      </c>
      <c r="I44" s="6" t="n">
        <v>139</v>
      </c>
      <c r="J44" s="6" t="n">
        <v>96</v>
      </c>
      <c r="K44" s="7" t="n">
        <f aca="false">SUM(D44:J44)</f>
        <v>653</v>
      </c>
    </row>
    <row r="45" customFormat="false" ht="15" hidden="false" customHeight="false" outlineLevel="0" collapsed="false">
      <c r="A45" s="42"/>
      <c r="B45" s="42"/>
      <c r="C45" s="44" t="s">
        <v>14</v>
      </c>
      <c r="D45" s="9" t="n">
        <v>97.9</v>
      </c>
      <c r="E45" s="9" t="n">
        <v>93.9</v>
      </c>
      <c r="F45" s="9" t="n">
        <v>109.9</v>
      </c>
      <c r="G45" s="9" t="n">
        <v>99.7</v>
      </c>
      <c r="H45" s="9" t="n">
        <v>100.9</v>
      </c>
      <c r="I45" s="9" t="n">
        <v>163.4</v>
      </c>
      <c r="J45" s="9" t="n">
        <v>141.7</v>
      </c>
      <c r="K45" s="10" t="n">
        <f aca="false">SUM(D45:J45)</f>
        <v>807.4</v>
      </c>
    </row>
    <row r="46" customFormat="false" ht="15" hidden="false" customHeight="false" outlineLevel="0" collapsed="false">
      <c r="A46" s="42"/>
      <c r="B46" s="42"/>
      <c r="C46" s="11" t="s">
        <v>41</v>
      </c>
      <c r="D46" s="14" t="n">
        <f aca="false">IFERROR((D45-D44)/D44,0)</f>
        <v>0.0305263157894737</v>
      </c>
      <c r="E46" s="14" t="n">
        <f aca="false">IFERROR((E45-E44)/E44,0)</f>
        <v>0.055056179775281</v>
      </c>
      <c r="F46" s="14" t="n">
        <f aca="false">IFERROR((F45-F44)/F44,0)</f>
        <v>0.547887323943662</v>
      </c>
      <c r="G46" s="14" t="n">
        <f aca="false">IFERROR((G45-G44)/G44,0)</f>
        <v>0.404225352112676</v>
      </c>
      <c r="H46" s="14" t="n">
        <f aca="false">IFERROR((H45-H44)/H44,0)</f>
        <v>0.0967391304347827</v>
      </c>
      <c r="I46" s="14" t="n">
        <f aca="false">IFERROR((I45-I44)/I44,0)</f>
        <v>0.175539568345324</v>
      </c>
      <c r="J46" s="14" t="n">
        <f aca="false">IFERROR((J45-J44)/J44,0)</f>
        <v>0.476041666666667</v>
      </c>
      <c r="K46" s="15" t="n">
        <f aca="false">IFERROR((SUM(D45:J45)-SUM(D44:J44))/SUM(D44:J44),0)</f>
        <v>0.236447166921899</v>
      </c>
    </row>
    <row r="47" customFormat="false" ht="15" hidden="false" customHeight="true" outlineLevel="0" collapsed="false">
      <c r="A47" s="42" t="s">
        <v>59</v>
      </c>
      <c r="B47" s="43" t="s">
        <v>60</v>
      </c>
      <c r="C47" s="5" t="s">
        <v>26</v>
      </c>
      <c r="D47" s="6" t="n">
        <v>76</v>
      </c>
      <c r="E47" s="6" t="n">
        <v>81</v>
      </c>
      <c r="F47" s="6" t="n">
        <v>62</v>
      </c>
      <c r="G47" s="6" t="n">
        <v>61</v>
      </c>
      <c r="H47" s="6" t="n">
        <v>77</v>
      </c>
      <c r="I47" s="6" t="n">
        <v>141</v>
      </c>
      <c r="J47" s="6" t="n">
        <v>81</v>
      </c>
      <c r="K47" s="7" t="n">
        <f aca="false">SUM(D47:J47)</f>
        <v>579</v>
      </c>
    </row>
    <row r="48" customFormat="false" ht="15" hidden="false" customHeight="false" outlineLevel="0" collapsed="false">
      <c r="A48" s="42"/>
      <c r="B48" s="42"/>
      <c r="C48" s="44" t="s">
        <v>14</v>
      </c>
      <c r="D48" s="9" t="n">
        <v>82.7</v>
      </c>
      <c r="E48" s="9" t="n">
        <v>81.6</v>
      </c>
      <c r="F48" s="9" t="n">
        <v>86.8</v>
      </c>
      <c r="G48" s="9" t="n">
        <v>88.3</v>
      </c>
      <c r="H48" s="9" t="n">
        <v>91</v>
      </c>
      <c r="I48" s="9" t="n">
        <v>128.8</v>
      </c>
      <c r="J48" s="9" t="n">
        <v>113</v>
      </c>
      <c r="K48" s="10" t="n">
        <f aca="false">SUM(D48:J48)</f>
        <v>672.2</v>
      </c>
    </row>
    <row r="49" customFormat="false" ht="15" hidden="false" customHeight="false" outlineLevel="0" collapsed="false">
      <c r="A49" s="42"/>
      <c r="B49" s="42"/>
      <c r="C49" s="11" t="s">
        <v>41</v>
      </c>
      <c r="D49" s="14" t="n">
        <f aca="false">IFERROR((D48-D47)/D47,0)</f>
        <v>0.0881578947368421</v>
      </c>
      <c r="E49" s="14" t="n">
        <f aca="false">IFERROR((E48-E47)/E47,0)</f>
        <v>0.00740740740740734</v>
      </c>
      <c r="F49" s="14" t="n">
        <f aca="false">IFERROR((F48-F47)/F47,0)</f>
        <v>0.4</v>
      </c>
      <c r="G49" s="14" t="n">
        <f aca="false">IFERROR((G48-G47)/G47,0)</f>
        <v>0.447540983606557</v>
      </c>
      <c r="H49" s="14" t="n">
        <f aca="false">IFERROR((H48-H47)/H47,0)</f>
        <v>0.181818181818182</v>
      </c>
      <c r="I49" s="14" t="n">
        <f aca="false">IFERROR((I48-I47)/I47,0)</f>
        <v>-0.0865248226950354</v>
      </c>
      <c r="J49" s="14" t="n">
        <f aca="false">IFERROR((J48-J47)/J47,0)</f>
        <v>0.395061728395062</v>
      </c>
      <c r="K49" s="15" t="n">
        <f aca="false">IFERROR((SUM(D48:J48)-SUM(D47:J47))/SUM(D47:J47),0)</f>
        <v>0.160967184801382</v>
      </c>
    </row>
    <row r="50" customFormat="false" ht="15" hidden="false" customHeight="true" outlineLevel="0" collapsed="false">
      <c r="A50" s="42" t="s">
        <v>61</v>
      </c>
      <c r="B50" s="43" t="s">
        <v>62</v>
      </c>
      <c r="C50" s="5" t="s">
        <v>26</v>
      </c>
      <c r="D50" s="6" t="n">
        <v>31</v>
      </c>
      <c r="E50" s="6" t="n">
        <v>33</v>
      </c>
      <c r="F50" s="6" t="n">
        <v>28</v>
      </c>
      <c r="G50" s="6" t="n">
        <v>50</v>
      </c>
      <c r="H50" s="6" t="n">
        <v>94</v>
      </c>
      <c r="I50" s="6" t="n">
        <v>229</v>
      </c>
      <c r="J50" s="6" t="n">
        <v>91</v>
      </c>
      <c r="K50" s="7" t="n">
        <f aca="false">SUM(D50:J50)</f>
        <v>556</v>
      </c>
    </row>
    <row r="51" customFormat="false" ht="15" hidden="false" customHeight="false" outlineLevel="0" collapsed="false">
      <c r="A51" s="42"/>
      <c r="B51" s="42"/>
      <c r="C51" s="44" t="s">
        <v>14</v>
      </c>
      <c r="D51" s="9" t="n">
        <v>31.6</v>
      </c>
      <c r="E51" s="9" t="n">
        <v>45.6</v>
      </c>
      <c r="F51" s="9" t="n">
        <v>40.1</v>
      </c>
      <c r="G51" s="9" t="n">
        <v>60.9</v>
      </c>
      <c r="H51" s="9" t="n">
        <v>71.6</v>
      </c>
      <c r="I51" s="9" t="n">
        <v>164.8</v>
      </c>
      <c r="J51" s="9" t="n">
        <v>91.2</v>
      </c>
      <c r="K51" s="10" t="n">
        <f aca="false">SUM(D51:J51)</f>
        <v>505.8</v>
      </c>
    </row>
    <row r="52" customFormat="false" ht="15" hidden="false" customHeight="false" outlineLevel="0" collapsed="false">
      <c r="A52" s="42"/>
      <c r="B52" s="42"/>
      <c r="C52" s="11" t="s">
        <v>41</v>
      </c>
      <c r="D52" s="14" t="n">
        <f aca="false">IFERROR((D51-D50)/D50,0)</f>
        <v>0.0193548387096775</v>
      </c>
      <c r="E52" s="14" t="n">
        <f aca="false">IFERROR((E51-E50)/E50,0)</f>
        <v>0.381818181818182</v>
      </c>
      <c r="F52" s="14" t="n">
        <f aca="false">IFERROR((F51-F50)/F50,0)</f>
        <v>0.432142857142857</v>
      </c>
      <c r="G52" s="14" t="n">
        <f aca="false">IFERROR((G51-G50)/G50,0)</f>
        <v>0.218</v>
      </c>
      <c r="H52" s="14" t="n">
        <f aca="false">IFERROR((H51-H50)/H50,0)</f>
        <v>-0.238297872340426</v>
      </c>
      <c r="I52" s="14" t="n">
        <f aca="false">IFERROR((I51-I50)/I50,0)</f>
        <v>-0.280349344978166</v>
      </c>
      <c r="J52" s="14" t="n">
        <f aca="false">IFERROR((J51-J50)/J50,0)</f>
        <v>0.00219780219780223</v>
      </c>
      <c r="K52" s="15" t="n">
        <f aca="false">IFERROR((SUM(D51:J51)-SUM(D50:J50))/SUM(D50:J50),0)</f>
        <v>-0.0902877697841727</v>
      </c>
    </row>
    <row r="53" customFormat="false" ht="15" hidden="false" customHeight="true" outlineLevel="0" collapsed="false">
      <c r="A53" s="42" t="s">
        <v>63</v>
      </c>
      <c r="B53" s="43" t="s">
        <v>47</v>
      </c>
      <c r="C53" s="5" t="s">
        <v>26</v>
      </c>
      <c r="D53" s="6" t="n">
        <v>50</v>
      </c>
      <c r="E53" s="6" t="n">
        <v>36</v>
      </c>
      <c r="F53" s="6" t="n">
        <v>43</v>
      </c>
      <c r="G53" s="6" t="n">
        <v>57</v>
      </c>
      <c r="H53" s="6" t="n">
        <v>101</v>
      </c>
      <c r="I53" s="6" t="n">
        <v>182</v>
      </c>
      <c r="J53" s="6" t="n">
        <v>71</v>
      </c>
      <c r="K53" s="7" t="n">
        <f aca="false">SUM(D53:J53)</f>
        <v>540</v>
      </c>
    </row>
    <row r="54" customFormat="false" ht="15" hidden="false" customHeight="false" outlineLevel="0" collapsed="false">
      <c r="A54" s="42"/>
      <c r="B54" s="42"/>
      <c r="C54" s="44" t="s">
        <v>14</v>
      </c>
      <c r="D54" s="9" t="n">
        <v>50.7</v>
      </c>
      <c r="E54" s="9" t="n">
        <v>44.5</v>
      </c>
      <c r="F54" s="9" t="n">
        <v>45.8</v>
      </c>
      <c r="G54" s="9" t="n">
        <v>67.9</v>
      </c>
      <c r="H54" s="9" t="n">
        <v>82.9</v>
      </c>
      <c r="I54" s="9" t="n">
        <v>202.1</v>
      </c>
      <c r="J54" s="9" t="n">
        <v>81.3</v>
      </c>
      <c r="K54" s="10" t="n">
        <f aca="false">SUM(D54:J54)</f>
        <v>575.2</v>
      </c>
    </row>
    <row r="55" customFormat="false" ht="15" hidden="false" customHeight="false" outlineLevel="0" collapsed="false">
      <c r="A55" s="42"/>
      <c r="B55" s="42"/>
      <c r="C55" s="11" t="s">
        <v>41</v>
      </c>
      <c r="D55" s="14" t="n">
        <f aca="false">IFERROR((D54-D53)/D53,0)</f>
        <v>0.0140000000000001</v>
      </c>
      <c r="E55" s="14" t="n">
        <f aca="false">IFERROR((E54-E53)/E53,0)</f>
        <v>0.236111111111111</v>
      </c>
      <c r="F55" s="14" t="n">
        <f aca="false">IFERROR((F54-F53)/F53,0)</f>
        <v>0.0651162790697674</v>
      </c>
      <c r="G55" s="14" t="n">
        <f aca="false">IFERROR((G54-G53)/G53,0)</f>
        <v>0.191228070175439</v>
      </c>
      <c r="H55" s="14" t="n">
        <f aca="false">IFERROR((H54-H53)/H53,0)</f>
        <v>-0.179207920792079</v>
      </c>
      <c r="I55" s="14" t="n">
        <f aca="false">IFERROR((I54-I53)/I53,0)</f>
        <v>0.11043956043956</v>
      </c>
      <c r="J55" s="14" t="n">
        <f aca="false">IFERROR((J54-J53)/J53,0)</f>
        <v>0.145070422535211</v>
      </c>
      <c r="K55" s="15" t="n">
        <f aca="false">IFERROR((SUM(D54:J54)-SUM(D53:J53))/SUM(D53:J53),0)</f>
        <v>0.0651851851851851</v>
      </c>
    </row>
    <row r="56" customFormat="false" ht="15" hidden="false" customHeight="true" outlineLevel="0" collapsed="false">
      <c r="A56" s="42" t="s">
        <v>64</v>
      </c>
      <c r="B56" s="43" t="s">
        <v>52</v>
      </c>
      <c r="C56" s="5" t="s">
        <v>26</v>
      </c>
      <c r="D56" s="6" t="n">
        <v>51</v>
      </c>
      <c r="E56" s="6" t="n">
        <v>61</v>
      </c>
      <c r="F56" s="6" t="n">
        <v>52</v>
      </c>
      <c r="G56" s="6" t="n">
        <v>72</v>
      </c>
      <c r="H56" s="6" t="n">
        <v>83</v>
      </c>
      <c r="I56" s="6" t="n">
        <v>140</v>
      </c>
      <c r="J56" s="6" t="n">
        <v>65</v>
      </c>
      <c r="K56" s="7" t="n">
        <f aca="false">SUM(D56:J56)</f>
        <v>524</v>
      </c>
    </row>
    <row r="57" customFormat="false" ht="15" hidden="false" customHeight="false" outlineLevel="0" collapsed="false">
      <c r="A57" s="42"/>
      <c r="B57" s="42"/>
      <c r="C57" s="44" t="s">
        <v>14</v>
      </c>
      <c r="D57" s="9" t="n">
        <v>60.5</v>
      </c>
      <c r="E57" s="9" t="n">
        <v>70.8</v>
      </c>
      <c r="F57" s="9" t="n">
        <v>66.9</v>
      </c>
      <c r="G57" s="9" t="n">
        <v>86.2</v>
      </c>
      <c r="H57" s="9" t="n">
        <v>104.6</v>
      </c>
      <c r="I57" s="9" t="n">
        <v>159.6</v>
      </c>
      <c r="J57" s="9" t="n">
        <v>97.2</v>
      </c>
      <c r="K57" s="10" t="n">
        <f aca="false">SUM(D57:J57)</f>
        <v>645.8</v>
      </c>
    </row>
    <row r="58" customFormat="false" ht="15" hidden="false" customHeight="false" outlineLevel="0" collapsed="false">
      <c r="A58" s="42"/>
      <c r="B58" s="42"/>
      <c r="C58" s="11" t="s">
        <v>41</v>
      </c>
      <c r="D58" s="14" t="n">
        <f aca="false">IFERROR((D57-D56)/D56,0)</f>
        <v>0.186274509803922</v>
      </c>
      <c r="E58" s="14" t="n">
        <f aca="false">IFERROR((E57-E56)/E56,0)</f>
        <v>0.160655737704918</v>
      </c>
      <c r="F58" s="14" t="n">
        <f aca="false">IFERROR((F57-F56)/F56,0)</f>
        <v>0.286538461538462</v>
      </c>
      <c r="G58" s="14" t="n">
        <f aca="false">IFERROR((G57-G56)/G56,0)</f>
        <v>0.197222222222222</v>
      </c>
      <c r="H58" s="14" t="n">
        <f aca="false">IFERROR((H57-H56)/H56,0)</f>
        <v>0.260240963855422</v>
      </c>
      <c r="I58" s="14" t="n">
        <f aca="false">IFERROR((I57-I56)/I56,0)</f>
        <v>0.14</v>
      </c>
      <c r="J58" s="14" t="n">
        <f aca="false">IFERROR((J57-J56)/J56,0)</f>
        <v>0.495384615384615</v>
      </c>
      <c r="K58" s="15" t="n">
        <f aca="false">IFERROR((SUM(D57:J57)-SUM(D56:J56))/SUM(D56:J56),0)</f>
        <v>0.232442748091603</v>
      </c>
    </row>
    <row r="59" customFormat="false" ht="15" hidden="false" customHeight="true" outlineLevel="0" collapsed="false">
      <c r="A59" s="42" t="s">
        <v>65</v>
      </c>
      <c r="B59" s="43" t="s">
        <v>66</v>
      </c>
      <c r="C59" s="5" t="s">
        <v>26</v>
      </c>
      <c r="D59" s="6" t="n">
        <v>27</v>
      </c>
      <c r="E59" s="6" t="n">
        <v>30</v>
      </c>
      <c r="F59" s="6" t="n">
        <v>34</v>
      </c>
      <c r="G59" s="6" t="n">
        <v>55</v>
      </c>
      <c r="H59" s="6" t="n">
        <v>61</v>
      </c>
      <c r="I59" s="6" t="n">
        <v>195</v>
      </c>
      <c r="J59" s="6" t="n">
        <v>111</v>
      </c>
      <c r="K59" s="7" t="n">
        <f aca="false">SUM(D59:J59)</f>
        <v>513</v>
      </c>
    </row>
    <row r="60" customFormat="false" ht="15" hidden="false" customHeight="false" outlineLevel="0" collapsed="false">
      <c r="A60" s="42"/>
      <c r="B60" s="42"/>
      <c r="C60" s="44" t="s">
        <v>14</v>
      </c>
      <c r="D60" s="9" t="n">
        <v>45.4</v>
      </c>
      <c r="E60" s="9" t="n">
        <v>35.9</v>
      </c>
      <c r="F60" s="9" t="n">
        <v>47.6</v>
      </c>
      <c r="G60" s="9" t="n">
        <v>59.4</v>
      </c>
      <c r="H60" s="9" t="n">
        <v>64.3</v>
      </c>
      <c r="I60" s="9" t="n">
        <v>151.2</v>
      </c>
      <c r="J60" s="9" t="n">
        <v>96.2</v>
      </c>
      <c r="K60" s="10" t="n">
        <f aca="false">SUM(D60:J60)</f>
        <v>500</v>
      </c>
    </row>
    <row r="61" customFormat="false" ht="15" hidden="false" customHeight="false" outlineLevel="0" collapsed="false">
      <c r="A61" s="42"/>
      <c r="B61" s="42"/>
      <c r="C61" s="11" t="s">
        <v>41</v>
      </c>
      <c r="D61" s="14" t="n">
        <f aca="false">IFERROR((D60-D59)/D59,0)</f>
        <v>0.681481481481482</v>
      </c>
      <c r="E61" s="14" t="n">
        <f aca="false">IFERROR((E60-E59)/E59,0)</f>
        <v>0.196666666666667</v>
      </c>
      <c r="F61" s="14" t="n">
        <f aca="false">IFERROR((F60-F59)/F59,0)</f>
        <v>0.4</v>
      </c>
      <c r="G61" s="14" t="n">
        <f aca="false">IFERROR((G60-G59)/G59,0)</f>
        <v>0.08</v>
      </c>
      <c r="H61" s="14" t="n">
        <f aca="false">IFERROR((H60-H59)/H59,0)</f>
        <v>0.0540983606557377</v>
      </c>
      <c r="I61" s="14" t="n">
        <f aca="false">IFERROR((I60-I59)/I59,0)</f>
        <v>-0.224615384615385</v>
      </c>
      <c r="J61" s="14" t="n">
        <f aca="false">IFERROR((J60-J59)/J59,0)</f>
        <v>-0.133333333333333</v>
      </c>
      <c r="K61" s="15" t="n">
        <f aca="false">IFERROR((SUM(D60:J60)-SUM(D59:J59))/SUM(D59:J59),0)</f>
        <v>-0.0253411306042886</v>
      </c>
    </row>
    <row r="62" customFormat="false" ht="15" hidden="false" customHeight="true" outlineLevel="0" collapsed="false">
      <c r="A62" s="42" t="s">
        <v>67</v>
      </c>
      <c r="B62" s="43" t="s">
        <v>68</v>
      </c>
      <c r="C62" s="5" t="s">
        <v>26</v>
      </c>
      <c r="D62" s="6" t="n">
        <v>39</v>
      </c>
      <c r="E62" s="6" t="n">
        <v>59</v>
      </c>
      <c r="F62" s="6" t="n">
        <v>43</v>
      </c>
      <c r="G62" s="6" t="n">
        <v>48</v>
      </c>
      <c r="H62" s="6" t="n">
        <v>71</v>
      </c>
      <c r="I62" s="6" t="n">
        <v>173</v>
      </c>
      <c r="J62" s="6" t="n">
        <v>75</v>
      </c>
      <c r="K62" s="7" t="n">
        <f aca="false">SUM(D62:J62)</f>
        <v>508</v>
      </c>
    </row>
    <row r="63" customFormat="false" ht="15" hidden="false" customHeight="false" outlineLevel="0" collapsed="false">
      <c r="A63" s="42"/>
      <c r="B63" s="42"/>
      <c r="C63" s="44" t="s">
        <v>14</v>
      </c>
      <c r="D63" s="9" t="n">
        <v>44.9</v>
      </c>
      <c r="E63" s="9" t="n">
        <v>51.6</v>
      </c>
      <c r="F63" s="9" t="n">
        <v>45.2</v>
      </c>
      <c r="G63" s="9" t="n">
        <v>65.2</v>
      </c>
      <c r="H63" s="9" t="n">
        <v>80.3</v>
      </c>
      <c r="I63" s="9" t="n">
        <v>152</v>
      </c>
      <c r="J63" s="9" t="n">
        <v>89.6</v>
      </c>
      <c r="K63" s="10" t="n">
        <f aca="false">SUM(D63:J63)</f>
        <v>528.8</v>
      </c>
    </row>
    <row r="64" customFormat="false" ht="15" hidden="false" customHeight="false" outlineLevel="0" collapsed="false">
      <c r="A64" s="42"/>
      <c r="B64" s="42"/>
      <c r="C64" s="11" t="s">
        <v>41</v>
      </c>
      <c r="D64" s="14" t="n">
        <f aca="false">IFERROR((D63-D62)/D62,0)</f>
        <v>0.151282051282051</v>
      </c>
      <c r="E64" s="14" t="n">
        <f aca="false">IFERROR((E63-E62)/E62,0)</f>
        <v>-0.125423728813559</v>
      </c>
      <c r="F64" s="14" t="n">
        <f aca="false">IFERROR((F63-F62)/F62,0)</f>
        <v>0.0511627906976745</v>
      </c>
      <c r="G64" s="14" t="n">
        <f aca="false">IFERROR((G63-G62)/G62,0)</f>
        <v>0.358333333333333</v>
      </c>
      <c r="H64" s="14" t="n">
        <f aca="false">IFERROR((H63-H62)/H62,0)</f>
        <v>0.130985915492958</v>
      </c>
      <c r="I64" s="14" t="n">
        <f aca="false">IFERROR((I63-I62)/I62,0)</f>
        <v>-0.121387283236994</v>
      </c>
      <c r="J64" s="14" t="n">
        <f aca="false">IFERROR((J63-J62)/J62,0)</f>
        <v>0.194666666666667</v>
      </c>
      <c r="K64" s="15" t="n">
        <f aca="false">IFERROR((SUM(D63:J63)-SUM(D62:J62))/SUM(D62:J62),0)</f>
        <v>0.0409448818897637</v>
      </c>
    </row>
    <row r="65" customFormat="false" ht="15" hidden="false" customHeight="true" outlineLevel="0" collapsed="false">
      <c r="A65" s="42" t="s">
        <v>69</v>
      </c>
      <c r="B65" s="43" t="s">
        <v>52</v>
      </c>
      <c r="C65" s="5" t="s">
        <v>26</v>
      </c>
      <c r="D65" s="6" t="n">
        <v>38</v>
      </c>
      <c r="E65" s="6" t="n">
        <v>45</v>
      </c>
      <c r="F65" s="6" t="n">
        <v>47</v>
      </c>
      <c r="G65" s="6" t="n">
        <v>52</v>
      </c>
      <c r="H65" s="6" t="n">
        <v>88</v>
      </c>
      <c r="I65" s="6" t="n">
        <v>165</v>
      </c>
      <c r="J65" s="6" t="n">
        <v>53</v>
      </c>
      <c r="K65" s="7" t="n">
        <f aca="false">SUM(D65:J65)</f>
        <v>488</v>
      </c>
    </row>
    <row r="66" customFormat="false" ht="15" hidden="false" customHeight="false" outlineLevel="0" collapsed="false">
      <c r="A66" s="42"/>
      <c r="B66" s="42"/>
      <c r="C66" s="44" t="s">
        <v>14</v>
      </c>
      <c r="D66" s="9" t="n">
        <v>42.9</v>
      </c>
      <c r="E66" s="9" t="n">
        <v>44.3</v>
      </c>
      <c r="F66" s="9" t="n">
        <v>50</v>
      </c>
      <c r="G66" s="9" t="n">
        <v>74.3</v>
      </c>
      <c r="H66" s="9" t="n">
        <v>71.8</v>
      </c>
      <c r="I66" s="9" t="n">
        <v>131.3</v>
      </c>
      <c r="J66" s="9" t="n">
        <v>56.6</v>
      </c>
      <c r="K66" s="10" t="n">
        <f aca="false">SUM(D66:J66)</f>
        <v>471.2</v>
      </c>
    </row>
    <row r="67" customFormat="false" ht="15" hidden="false" customHeight="false" outlineLevel="0" collapsed="false">
      <c r="A67" s="42"/>
      <c r="B67" s="42"/>
      <c r="C67" s="11" t="s">
        <v>41</v>
      </c>
      <c r="D67" s="14" t="n">
        <f aca="false">IFERROR((D66-D65)/D65,0)</f>
        <v>0.128947368421053</v>
      </c>
      <c r="E67" s="14" t="n">
        <f aca="false">IFERROR((E66-E65)/E65,0)</f>
        <v>-0.0155555555555556</v>
      </c>
      <c r="F67" s="14" t="n">
        <f aca="false">IFERROR((F66-F65)/F65,0)</f>
        <v>0.0638297872340426</v>
      </c>
      <c r="G67" s="14" t="n">
        <f aca="false">IFERROR((G66-G65)/G65,0)</f>
        <v>0.428846153846154</v>
      </c>
      <c r="H67" s="14" t="n">
        <f aca="false">IFERROR((H66-H65)/H65,0)</f>
        <v>-0.184090909090909</v>
      </c>
      <c r="I67" s="14" t="n">
        <f aca="false">IFERROR((I66-I65)/I65,0)</f>
        <v>-0.204242424242424</v>
      </c>
      <c r="J67" s="14" t="n">
        <f aca="false">IFERROR((J66-J65)/J65,0)</f>
        <v>0.0679245283018868</v>
      </c>
      <c r="K67" s="15" t="n">
        <f aca="false">IFERROR((SUM(D66:J66)-SUM(D65:J65))/SUM(D65:J65),0)</f>
        <v>-0.0344262295081966</v>
      </c>
    </row>
    <row r="68" customFormat="false" ht="15" hidden="false" customHeight="true" outlineLevel="0" collapsed="false">
      <c r="A68" s="42" t="s">
        <v>70</v>
      </c>
      <c r="B68" s="43" t="s">
        <v>68</v>
      </c>
      <c r="C68" s="5" t="s">
        <v>26</v>
      </c>
      <c r="D68" s="6" t="n">
        <v>36</v>
      </c>
      <c r="E68" s="6" t="n">
        <v>27</v>
      </c>
      <c r="F68" s="6" t="n">
        <v>30</v>
      </c>
      <c r="G68" s="6" t="n">
        <v>44</v>
      </c>
      <c r="H68" s="6" t="n">
        <v>68</v>
      </c>
      <c r="I68" s="6" t="n">
        <v>176</v>
      </c>
      <c r="J68" s="6" t="n">
        <v>89</v>
      </c>
      <c r="K68" s="7" t="n">
        <f aca="false">SUM(D68:J68)</f>
        <v>470</v>
      </c>
    </row>
    <row r="69" customFormat="false" ht="15" hidden="false" customHeight="false" outlineLevel="0" collapsed="false">
      <c r="A69" s="42"/>
      <c r="B69" s="42"/>
      <c r="C69" s="44" t="s">
        <v>14</v>
      </c>
      <c r="D69" s="9" t="n">
        <v>32.8</v>
      </c>
      <c r="E69" s="9" t="n">
        <v>28.8</v>
      </c>
      <c r="F69" s="9" t="n">
        <v>34.7</v>
      </c>
      <c r="G69" s="9" t="n">
        <v>62.2</v>
      </c>
      <c r="H69" s="9" t="n">
        <v>72.2</v>
      </c>
      <c r="I69" s="9" t="n">
        <v>161.5</v>
      </c>
      <c r="J69" s="9" t="n">
        <v>92.7</v>
      </c>
      <c r="K69" s="10" t="n">
        <f aca="false">SUM(D69:J69)</f>
        <v>484.9</v>
      </c>
    </row>
    <row r="70" customFormat="false" ht="15" hidden="false" customHeight="false" outlineLevel="0" collapsed="false">
      <c r="A70" s="42"/>
      <c r="B70" s="42"/>
      <c r="C70" s="11" t="s">
        <v>41</v>
      </c>
      <c r="D70" s="14" t="n">
        <f aca="false">IFERROR((D69-D68)/D68,0)</f>
        <v>-0.088888888888889</v>
      </c>
      <c r="E70" s="14" t="n">
        <f aca="false">IFERROR((E69-E68)/E68,0)</f>
        <v>0.0666666666666667</v>
      </c>
      <c r="F70" s="14" t="n">
        <f aca="false">IFERROR((F69-F68)/F68,0)</f>
        <v>0.156666666666667</v>
      </c>
      <c r="G70" s="14" t="n">
        <f aca="false">IFERROR((G69-G68)/G68,0)</f>
        <v>0.413636363636364</v>
      </c>
      <c r="H70" s="14" t="n">
        <f aca="false">IFERROR((H69-H68)/H68,0)</f>
        <v>0.061764705882353</v>
      </c>
      <c r="I70" s="14" t="n">
        <f aca="false">IFERROR((I69-I68)/I68,0)</f>
        <v>-0.0823863636363636</v>
      </c>
      <c r="J70" s="14" t="n">
        <f aca="false">IFERROR((J69-J68)/J68,0)</f>
        <v>0.0415730337078652</v>
      </c>
      <c r="K70" s="15" t="n">
        <f aca="false">IFERROR((SUM(D69:J69)-SUM(D68:J68))/SUM(D68:J68),0)</f>
        <v>0.0317021276595744</v>
      </c>
    </row>
    <row r="71" customFormat="false" ht="15" hidden="false" customHeight="true" outlineLevel="0" collapsed="false">
      <c r="A71" s="42" t="s">
        <v>71</v>
      </c>
      <c r="B71" s="43" t="s">
        <v>72</v>
      </c>
      <c r="C71" s="5" t="s">
        <v>26</v>
      </c>
      <c r="D71" s="6" t="n">
        <v>27</v>
      </c>
      <c r="E71" s="6" t="n">
        <v>33</v>
      </c>
      <c r="F71" s="6" t="n">
        <v>20</v>
      </c>
      <c r="G71" s="6" t="n">
        <v>46</v>
      </c>
      <c r="H71" s="6" t="n">
        <v>57</v>
      </c>
      <c r="I71" s="6" t="n">
        <v>215</v>
      </c>
      <c r="J71" s="6" t="n">
        <v>71</v>
      </c>
      <c r="K71" s="7" t="n">
        <f aca="false">SUM(D71:J71)</f>
        <v>469</v>
      </c>
    </row>
    <row r="72" customFormat="false" ht="15" hidden="false" customHeight="false" outlineLevel="0" collapsed="false">
      <c r="A72" s="42"/>
      <c r="B72" s="42"/>
      <c r="C72" s="44" t="s">
        <v>14</v>
      </c>
      <c r="D72" s="9" t="n">
        <v>29.1</v>
      </c>
      <c r="E72" s="9" t="n">
        <v>27.7</v>
      </c>
      <c r="F72" s="9" t="n">
        <v>35.5</v>
      </c>
      <c r="G72" s="9" t="n">
        <v>41</v>
      </c>
      <c r="H72" s="9" t="n">
        <v>60.3</v>
      </c>
      <c r="I72" s="9" t="n">
        <v>147.8</v>
      </c>
      <c r="J72" s="9" t="n">
        <v>83.5</v>
      </c>
      <c r="K72" s="10" t="n">
        <f aca="false">SUM(D72:J72)</f>
        <v>424.9</v>
      </c>
    </row>
    <row r="73" customFormat="false" ht="15" hidden="false" customHeight="false" outlineLevel="0" collapsed="false">
      <c r="A73" s="42"/>
      <c r="B73" s="42"/>
      <c r="C73" s="11" t="s">
        <v>41</v>
      </c>
      <c r="D73" s="14" t="n">
        <f aca="false">IFERROR((D72-D71)/D71,0)</f>
        <v>0.0777777777777778</v>
      </c>
      <c r="E73" s="14" t="n">
        <f aca="false">IFERROR((E72-E71)/E71,0)</f>
        <v>-0.160606060606061</v>
      </c>
      <c r="F73" s="14" t="n">
        <f aca="false">IFERROR((F72-F71)/F71,0)</f>
        <v>0.775</v>
      </c>
      <c r="G73" s="14" t="n">
        <f aca="false">IFERROR((G72-G71)/G71,0)</f>
        <v>-0.108695652173913</v>
      </c>
      <c r="H73" s="14" t="n">
        <f aca="false">IFERROR((H72-H71)/H71,0)</f>
        <v>0.0578947368421052</v>
      </c>
      <c r="I73" s="14" t="n">
        <f aca="false">IFERROR((I72-I71)/I71,0)</f>
        <v>-0.312558139534884</v>
      </c>
      <c r="J73" s="14" t="n">
        <f aca="false">IFERROR((J72-J71)/J71,0)</f>
        <v>0.176056338028169</v>
      </c>
      <c r="K73" s="15" t="n">
        <f aca="false">IFERROR((SUM(D72:J72)-SUM(D71:J71))/SUM(D71:J71),0)</f>
        <v>-0.0940298507462686</v>
      </c>
    </row>
    <row r="74" customFormat="false" ht="15" hidden="false" customHeight="true" outlineLevel="0" collapsed="false">
      <c r="A74" s="42" t="s">
        <v>73</v>
      </c>
      <c r="B74" s="43" t="s">
        <v>74</v>
      </c>
      <c r="C74" s="5" t="s">
        <v>26</v>
      </c>
      <c r="D74" s="6" t="n">
        <v>26</v>
      </c>
      <c r="E74" s="6" t="n">
        <v>28</v>
      </c>
      <c r="F74" s="6" t="n">
        <v>26</v>
      </c>
      <c r="G74" s="6" t="n">
        <v>40</v>
      </c>
      <c r="H74" s="6" t="n">
        <v>78</v>
      </c>
      <c r="I74" s="6" t="n">
        <v>172</v>
      </c>
      <c r="J74" s="6" t="n">
        <v>61</v>
      </c>
      <c r="K74" s="7" t="n">
        <f aca="false">SUM(D74:J74)</f>
        <v>431</v>
      </c>
    </row>
    <row r="75" customFormat="false" ht="15" hidden="false" customHeight="false" outlineLevel="0" collapsed="false">
      <c r="A75" s="42"/>
      <c r="B75" s="42"/>
      <c r="C75" s="44" t="s">
        <v>14</v>
      </c>
      <c r="D75" s="9" t="n">
        <v>35.9</v>
      </c>
      <c r="E75" s="9" t="n">
        <v>34.6</v>
      </c>
      <c r="F75" s="9" t="n">
        <v>38.3</v>
      </c>
      <c r="G75" s="9" t="n">
        <v>52.5</v>
      </c>
      <c r="H75" s="9" t="n">
        <v>67.3</v>
      </c>
      <c r="I75" s="9" t="n">
        <v>158.6</v>
      </c>
      <c r="J75" s="9" t="n">
        <v>79.4</v>
      </c>
      <c r="K75" s="10" t="n">
        <f aca="false">SUM(D75:J75)</f>
        <v>466.6</v>
      </c>
    </row>
    <row r="76" customFormat="false" ht="15" hidden="false" customHeight="false" outlineLevel="0" collapsed="false">
      <c r="A76" s="42"/>
      <c r="B76" s="42"/>
      <c r="C76" s="11" t="s">
        <v>41</v>
      </c>
      <c r="D76" s="14" t="n">
        <f aca="false">IFERROR((D75-D74)/D74,0)</f>
        <v>0.380769230769231</v>
      </c>
      <c r="E76" s="14" t="n">
        <f aca="false">IFERROR((E75-E74)/E74,0)</f>
        <v>0.235714285714286</v>
      </c>
      <c r="F76" s="14" t="n">
        <f aca="false">IFERROR((F75-F74)/F74,0)</f>
        <v>0.473076923076923</v>
      </c>
      <c r="G76" s="14" t="n">
        <f aca="false">IFERROR((G75-G74)/G74,0)</f>
        <v>0.3125</v>
      </c>
      <c r="H76" s="14" t="n">
        <f aca="false">IFERROR((H75-H74)/H74,0)</f>
        <v>-0.137179487179487</v>
      </c>
      <c r="I76" s="14" t="n">
        <f aca="false">IFERROR((I75-I74)/I74,0)</f>
        <v>-0.0779069767441861</v>
      </c>
      <c r="J76" s="14" t="n">
        <f aca="false">IFERROR((J75-J74)/J74,0)</f>
        <v>0.301639344262295</v>
      </c>
      <c r="K76" s="15" t="n">
        <f aca="false">IFERROR((SUM(D75:J75)-SUM(D74:J74))/SUM(D74:J74),0)</f>
        <v>0.0825986078886312</v>
      </c>
    </row>
    <row r="77" customFormat="false" ht="15" hidden="false" customHeight="true" outlineLevel="0" collapsed="false">
      <c r="A77" s="42" t="s">
        <v>75</v>
      </c>
      <c r="B77" s="43" t="s">
        <v>58</v>
      </c>
      <c r="C77" s="5" t="s">
        <v>26</v>
      </c>
      <c r="D77" s="6" t="n">
        <v>25</v>
      </c>
      <c r="E77" s="6" t="n">
        <v>35</v>
      </c>
      <c r="F77" s="6" t="n">
        <v>32</v>
      </c>
      <c r="G77" s="6" t="n">
        <v>50</v>
      </c>
      <c r="H77" s="6" t="n">
        <v>96</v>
      </c>
      <c r="I77" s="6" t="n">
        <v>156</v>
      </c>
      <c r="J77" s="6" t="n">
        <v>37</v>
      </c>
      <c r="K77" s="7" t="n">
        <f aca="false">SUM(D77:J77)</f>
        <v>431</v>
      </c>
    </row>
    <row r="78" customFormat="false" ht="15" hidden="false" customHeight="false" outlineLevel="0" collapsed="false">
      <c r="A78" s="42"/>
      <c r="B78" s="42"/>
      <c r="C78" s="44" t="s">
        <v>14</v>
      </c>
      <c r="D78" s="9" t="n">
        <v>31.4</v>
      </c>
      <c r="E78" s="9" t="n">
        <v>43.2</v>
      </c>
      <c r="F78" s="9" t="n">
        <v>40.2</v>
      </c>
      <c r="G78" s="9" t="n">
        <v>53.1</v>
      </c>
      <c r="H78" s="9" t="n">
        <v>69.8</v>
      </c>
      <c r="I78" s="9" t="n">
        <v>147.4</v>
      </c>
      <c r="J78" s="9" t="n">
        <v>48.7</v>
      </c>
      <c r="K78" s="10" t="n">
        <f aca="false">SUM(D78:J78)</f>
        <v>433.8</v>
      </c>
    </row>
    <row r="79" customFormat="false" ht="15" hidden="false" customHeight="false" outlineLevel="0" collapsed="false">
      <c r="A79" s="42"/>
      <c r="B79" s="42"/>
      <c r="C79" s="11" t="s">
        <v>41</v>
      </c>
      <c r="D79" s="14" t="n">
        <f aca="false">IFERROR((D78-D77)/D77,0)</f>
        <v>0.256</v>
      </c>
      <c r="E79" s="14" t="n">
        <f aca="false">IFERROR((E78-E77)/E77,0)</f>
        <v>0.234285714285714</v>
      </c>
      <c r="F79" s="14" t="n">
        <f aca="false">IFERROR((F78-F77)/F77,0)</f>
        <v>0.25625</v>
      </c>
      <c r="G79" s="14" t="n">
        <f aca="false">IFERROR((G78-G77)/G77,0)</f>
        <v>0.062</v>
      </c>
      <c r="H79" s="14" t="n">
        <f aca="false">IFERROR((H78-H77)/H77,0)</f>
        <v>-0.272916666666667</v>
      </c>
      <c r="I79" s="14" t="n">
        <f aca="false">IFERROR((I78-I77)/I77,0)</f>
        <v>-0.0551282051282051</v>
      </c>
      <c r="J79" s="14" t="n">
        <f aca="false">IFERROR((J78-J77)/J77,0)</f>
        <v>0.316216216216216</v>
      </c>
      <c r="K79" s="15" t="n">
        <f aca="false">IFERROR((SUM(D78:J78)-SUM(D77:J77))/SUM(D77:J77),0)</f>
        <v>0.00649651972157775</v>
      </c>
    </row>
    <row r="80" customFormat="false" ht="15" hidden="false" customHeight="true" outlineLevel="0" collapsed="false">
      <c r="A80" s="42" t="s">
        <v>76</v>
      </c>
      <c r="B80" s="43" t="s">
        <v>68</v>
      </c>
      <c r="C80" s="5" t="s">
        <v>26</v>
      </c>
      <c r="D80" s="6" t="n">
        <v>12</v>
      </c>
      <c r="E80" s="6" t="n">
        <v>41</v>
      </c>
      <c r="F80" s="6" t="n">
        <v>31</v>
      </c>
      <c r="G80" s="6" t="n">
        <v>48</v>
      </c>
      <c r="H80" s="6" t="n">
        <v>81</v>
      </c>
      <c r="I80" s="6" t="n">
        <v>125</v>
      </c>
      <c r="J80" s="6" t="n">
        <v>70</v>
      </c>
      <c r="K80" s="7" t="n">
        <f aca="false">SUM(D80:J80)</f>
        <v>408</v>
      </c>
    </row>
    <row r="81" customFormat="false" ht="15" hidden="false" customHeight="false" outlineLevel="0" collapsed="false">
      <c r="A81" s="42"/>
      <c r="B81" s="42"/>
      <c r="C81" s="44" t="s">
        <v>14</v>
      </c>
      <c r="D81" s="9" t="n">
        <v>22.4</v>
      </c>
      <c r="E81" s="9" t="n">
        <v>36.3</v>
      </c>
      <c r="F81" s="9" t="n">
        <v>38.3</v>
      </c>
      <c r="G81" s="9" t="n">
        <v>53.1</v>
      </c>
      <c r="H81" s="9" t="n">
        <v>81.2</v>
      </c>
      <c r="I81" s="9" t="n">
        <v>167.1</v>
      </c>
      <c r="J81" s="9" t="n">
        <v>88</v>
      </c>
      <c r="K81" s="10" t="n">
        <f aca="false">SUM(D81:J81)</f>
        <v>486.4</v>
      </c>
    </row>
    <row r="82" customFormat="false" ht="15" hidden="false" customHeight="false" outlineLevel="0" collapsed="false">
      <c r="A82" s="42"/>
      <c r="B82" s="42"/>
      <c r="C82" s="11" t="s">
        <v>41</v>
      </c>
      <c r="D82" s="14" t="n">
        <f aca="false">IFERROR((D81-D80)/D80,0)</f>
        <v>0.866666666666667</v>
      </c>
      <c r="E82" s="14" t="n">
        <f aca="false">IFERROR((E81-E80)/E80,0)</f>
        <v>-0.114634146341463</v>
      </c>
      <c r="F82" s="14" t="n">
        <f aca="false">IFERROR((F81-F80)/F80,0)</f>
        <v>0.235483870967742</v>
      </c>
      <c r="G82" s="14" t="n">
        <f aca="false">IFERROR((G81-G80)/G80,0)</f>
        <v>0.10625</v>
      </c>
      <c r="H82" s="14" t="n">
        <f aca="false">IFERROR((H81-H80)/H80,0)</f>
        <v>0.00246913580246917</v>
      </c>
      <c r="I82" s="14" t="n">
        <f aca="false">IFERROR((I81-I80)/I80,0)</f>
        <v>0.3368</v>
      </c>
      <c r="J82" s="14" t="n">
        <f aca="false">IFERROR((J81-J80)/J80,0)</f>
        <v>0.257142857142857</v>
      </c>
      <c r="K82" s="15" t="n">
        <f aca="false">IFERROR((SUM(D81:J81)-SUM(D80:J80))/SUM(D80:J80),0)</f>
        <v>0.192156862745098</v>
      </c>
    </row>
    <row r="83" customFormat="false" ht="15" hidden="false" customHeight="true" outlineLevel="0" collapsed="false">
      <c r="A83" s="42" t="s">
        <v>77</v>
      </c>
      <c r="B83" s="43" t="s">
        <v>58</v>
      </c>
      <c r="C83" s="5" t="s">
        <v>26</v>
      </c>
      <c r="D83" s="6" t="n">
        <v>64</v>
      </c>
      <c r="E83" s="6" t="n">
        <v>79</v>
      </c>
      <c r="F83" s="6" t="n">
        <v>51</v>
      </c>
      <c r="G83" s="6" t="n">
        <v>45</v>
      </c>
      <c r="H83" s="6" t="n">
        <v>66</v>
      </c>
      <c r="I83" s="6" t="n">
        <v>69</v>
      </c>
      <c r="J83" s="6" t="n">
        <v>33</v>
      </c>
      <c r="K83" s="7" t="n">
        <f aca="false">SUM(D83:J83)</f>
        <v>407</v>
      </c>
    </row>
    <row r="84" customFormat="false" ht="15" hidden="false" customHeight="false" outlineLevel="0" collapsed="false">
      <c r="A84" s="42"/>
      <c r="B84" s="42"/>
      <c r="C84" s="44" t="s">
        <v>14</v>
      </c>
      <c r="D84" s="9" t="n">
        <v>75.1</v>
      </c>
      <c r="E84" s="9" t="n">
        <v>78.2</v>
      </c>
      <c r="F84" s="9" t="n">
        <v>85</v>
      </c>
      <c r="G84" s="9" t="n">
        <v>83.2</v>
      </c>
      <c r="H84" s="9" t="n">
        <v>72.4</v>
      </c>
      <c r="I84" s="9" t="n">
        <v>88.2</v>
      </c>
      <c r="J84" s="9" t="n">
        <v>56.1</v>
      </c>
      <c r="K84" s="10" t="n">
        <f aca="false">SUM(D84:J84)</f>
        <v>538.2</v>
      </c>
    </row>
    <row r="85" customFormat="false" ht="15" hidden="false" customHeight="false" outlineLevel="0" collapsed="false">
      <c r="A85" s="42"/>
      <c r="B85" s="42"/>
      <c r="C85" s="11" t="s">
        <v>41</v>
      </c>
      <c r="D85" s="14" t="n">
        <f aca="false">IFERROR((D84-D83)/D83,0)</f>
        <v>0.1734375</v>
      </c>
      <c r="E85" s="14" t="n">
        <f aca="false">IFERROR((E84-E83)/E83,0)</f>
        <v>-0.010126582278481</v>
      </c>
      <c r="F85" s="14" t="n">
        <f aca="false">IFERROR((F84-F83)/F83,0)</f>
        <v>0.666666666666667</v>
      </c>
      <c r="G85" s="14" t="n">
        <f aca="false">IFERROR((G84-G83)/G83,0)</f>
        <v>0.848888888888889</v>
      </c>
      <c r="H85" s="14" t="n">
        <f aca="false">IFERROR((H84-H83)/H83,0)</f>
        <v>0.0969696969696971</v>
      </c>
      <c r="I85" s="14" t="n">
        <f aca="false">IFERROR((I84-I83)/I83,0)</f>
        <v>0.278260869565217</v>
      </c>
      <c r="J85" s="14" t="n">
        <f aca="false">IFERROR((J84-J83)/J83,0)</f>
        <v>0.7</v>
      </c>
      <c r="K85" s="15" t="n">
        <f aca="false">IFERROR((SUM(D84:J84)-SUM(D83:J83))/SUM(D83:J83),0)</f>
        <v>0.322358722358723</v>
      </c>
    </row>
    <row r="86" customFormat="false" ht="15" hidden="false" customHeight="true" outlineLevel="0" collapsed="false">
      <c r="A86" s="42" t="s">
        <v>78</v>
      </c>
      <c r="B86" s="43" t="s">
        <v>79</v>
      </c>
      <c r="C86" s="5" t="s">
        <v>26</v>
      </c>
      <c r="D86" s="6" t="n">
        <v>43</v>
      </c>
      <c r="E86" s="6" t="n">
        <v>40</v>
      </c>
      <c r="F86" s="6" t="n">
        <v>46</v>
      </c>
      <c r="G86" s="6" t="n">
        <v>58</v>
      </c>
      <c r="H86" s="6" t="n">
        <v>73</v>
      </c>
      <c r="I86" s="6" t="n">
        <v>110</v>
      </c>
      <c r="J86" s="6" t="n">
        <v>35</v>
      </c>
      <c r="K86" s="7" t="n">
        <f aca="false">SUM(D86:J86)</f>
        <v>405</v>
      </c>
    </row>
    <row r="87" customFormat="false" ht="15" hidden="false" customHeight="false" outlineLevel="0" collapsed="false">
      <c r="A87" s="42"/>
      <c r="B87" s="42"/>
      <c r="C87" s="44" t="s">
        <v>14</v>
      </c>
      <c r="D87" s="9" t="n">
        <v>30.6</v>
      </c>
      <c r="E87" s="9" t="n">
        <v>36</v>
      </c>
      <c r="F87" s="9" t="n">
        <v>41.1</v>
      </c>
      <c r="G87" s="9" t="n">
        <v>60.9</v>
      </c>
      <c r="H87" s="9" t="n">
        <v>67.9</v>
      </c>
      <c r="I87" s="9" t="n">
        <v>113</v>
      </c>
      <c r="J87" s="9" t="n">
        <v>38.3</v>
      </c>
      <c r="K87" s="10" t="n">
        <f aca="false">SUM(D87:J87)</f>
        <v>387.8</v>
      </c>
    </row>
    <row r="88" customFormat="false" ht="15" hidden="false" customHeight="false" outlineLevel="0" collapsed="false">
      <c r="A88" s="42"/>
      <c r="B88" s="42"/>
      <c r="C88" s="11" t="s">
        <v>41</v>
      </c>
      <c r="D88" s="14" t="n">
        <f aca="false">IFERROR((D87-D86)/D86,0)</f>
        <v>-0.288372093023256</v>
      </c>
      <c r="E88" s="14" t="n">
        <f aca="false">IFERROR((E87-E86)/E86,0)</f>
        <v>-0.1</v>
      </c>
      <c r="F88" s="14" t="n">
        <f aca="false">IFERROR((F87-F86)/F86,0)</f>
        <v>-0.106521739130435</v>
      </c>
      <c r="G88" s="14" t="n">
        <f aca="false">IFERROR((G87-G86)/G86,0)</f>
        <v>0.05</v>
      </c>
      <c r="H88" s="14" t="n">
        <f aca="false">IFERROR((H87-H86)/H86,0)</f>
        <v>-0.0698630136986301</v>
      </c>
      <c r="I88" s="14" t="n">
        <f aca="false">IFERROR((I87-I86)/I86,0)</f>
        <v>0.0272727272727273</v>
      </c>
      <c r="J88" s="14" t="n">
        <f aca="false">IFERROR((J87-J86)/J86,0)</f>
        <v>0.0942857142857142</v>
      </c>
      <c r="K88" s="15" t="n">
        <f aca="false">IFERROR((SUM(D87:J87)-SUM(D86:J86))/SUM(D86:J86),0)</f>
        <v>-0.0424691358024691</v>
      </c>
    </row>
    <row r="89" customFormat="false" ht="15" hidden="false" customHeight="true" outlineLevel="0" collapsed="false">
      <c r="A89" s="42" t="s">
        <v>80</v>
      </c>
      <c r="B89" s="43" t="s">
        <v>68</v>
      </c>
      <c r="C89" s="5" t="s">
        <v>26</v>
      </c>
      <c r="D89" s="6" t="n">
        <v>28</v>
      </c>
      <c r="E89" s="6" t="n">
        <v>33</v>
      </c>
      <c r="F89" s="6" t="n">
        <v>21</v>
      </c>
      <c r="G89" s="6" t="n">
        <v>32</v>
      </c>
      <c r="H89" s="6" t="n">
        <v>58</v>
      </c>
      <c r="I89" s="6" t="n">
        <v>152</v>
      </c>
      <c r="J89" s="6" t="n">
        <v>79</v>
      </c>
      <c r="K89" s="7" t="n">
        <f aca="false">SUM(D89:J89)</f>
        <v>403</v>
      </c>
    </row>
    <row r="90" customFormat="false" ht="15" hidden="false" customHeight="false" outlineLevel="0" collapsed="false">
      <c r="A90" s="42"/>
      <c r="B90" s="42"/>
      <c r="C90" s="44" t="s">
        <v>14</v>
      </c>
      <c r="D90" s="9" t="n">
        <v>33.4</v>
      </c>
      <c r="E90" s="9" t="n">
        <v>32.1</v>
      </c>
      <c r="F90" s="9" t="n">
        <v>32</v>
      </c>
      <c r="G90" s="9" t="n">
        <v>52.5</v>
      </c>
      <c r="H90" s="9" t="n">
        <v>63</v>
      </c>
      <c r="I90" s="9" t="n">
        <v>144.6</v>
      </c>
      <c r="J90" s="9" t="n">
        <v>75.9</v>
      </c>
      <c r="K90" s="10" t="n">
        <f aca="false">SUM(D90:J90)</f>
        <v>433.5</v>
      </c>
    </row>
    <row r="91" customFormat="false" ht="15" hidden="false" customHeight="false" outlineLevel="0" collapsed="false">
      <c r="A91" s="42"/>
      <c r="B91" s="42"/>
      <c r="C91" s="11" t="s">
        <v>41</v>
      </c>
      <c r="D91" s="14" t="n">
        <f aca="false">IFERROR((D90-D89)/D89,0)</f>
        <v>0.192857142857143</v>
      </c>
      <c r="E91" s="14" t="n">
        <f aca="false">IFERROR((E90-E89)/E89,0)</f>
        <v>-0.0272727272727272</v>
      </c>
      <c r="F91" s="14" t="n">
        <f aca="false">IFERROR((F90-F89)/F89,0)</f>
        <v>0.523809523809524</v>
      </c>
      <c r="G91" s="14" t="n">
        <f aca="false">IFERROR((G90-G89)/G89,0)</f>
        <v>0.640625</v>
      </c>
      <c r="H91" s="14" t="n">
        <f aca="false">IFERROR((H90-H89)/H89,0)</f>
        <v>0.0862068965517241</v>
      </c>
      <c r="I91" s="14" t="n">
        <f aca="false">IFERROR((I90-I89)/I89,0)</f>
        <v>-0.0486842105263158</v>
      </c>
      <c r="J91" s="14" t="n">
        <f aca="false">IFERROR((J90-J89)/J89,0)</f>
        <v>-0.0392405063291139</v>
      </c>
      <c r="K91" s="15" t="n">
        <f aca="false">IFERROR((SUM(D90:J90)-SUM(D89:J89))/SUM(D89:J89),0)</f>
        <v>0.075682382133995</v>
      </c>
    </row>
    <row r="92" customFormat="false" ht="15" hidden="false" customHeight="true" outlineLevel="0" collapsed="false">
      <c r="A92" s="42" t="s">
        <v>81</v>
      </c>
      <c r="B92" s="43" t="s">
        <v>49</v>
      </c>
      <c r="C92" s="5" t="s">
        <v>26</v>
      </c>
      <c r="D92" s="6" t="n">
        <v>23</v>
      </c>
      <c r="E92" s="6" t="n">
        <v>39</v>
      </c>
      <c r="F92" s="6" t="n">
        <v>24</v>
      </c>
      <c r="G92" s="6" t="n">
        <v>39</v>
      </c>
      <c r="H92" s="6" t="n">
        <v>81</v>
      </c>
      <c r="I92" s="6" t="n">
        <v>138</v>
      </c>
      <c r="J92" s="6" t="n">
        <v>41</v>
      </c>
      <c r="K92" s="7" t="n">
        <f aca="false">SUM(D92:J92)</f>
        <v>385</v>
      </c>
    </row>
    <row r="93" customFormat="false" ht="15" hidden="false" customHeight="false" outlineLevel="0" collapsed="false">
      <c r="A93" s="42"/>
      <c r="B93" s="42"/>
      <c r="C93" s="44" t="s">
        <v>14</v>
      </c>
      <c r="D93" s="9" t="n">
        <v>58.6</v>
      </c>
      <c r="E93" s="9" t="n">
        <v>39.8</v>
      </c>
      <c r="F93" s="9" t="n">
        <v>45.1</v>
      </c>
      <c r="G93" s="9" t="n">
        <v>53</v>
      </c>
      <c r="H93" s="9" t="n">
        <v>63.9</v>
      </c>
      <c r="I93" s="9" t="n">
        <v>183.7</v>
      </c>
      <c r="J93" s="9" t="n">
        <v>106.4</v>
      </c>
      <c r="K93" s="10" t="n">
        <f aca="false">SUM(D93:J93)</f>
        <v>550.5</v>
      </c>
    </row>
    <row r="94" customFormat="false" ht="15" hidden="false" customHeight="false" outlineLevel="0" collapsed="false">
      <c r="A94" s="42"/>
      <c r="B94" s="42"/>
      <c r="C94" s="11" t="s">
        <v>41</v>
      </c>
      <c r="D94" s="14" t="n">
        <f aca="false">IFERROR((D93-D92)/D92,0)</f>
        <v>1.54782608695652</v>
      </c>
      <c r="E94" s="14" t="n">
        <f aca="false">IFERROR((E93-E92)/E92,0)</f>
        <v>0.0205128205128204</v>
      </c>
      <c r="F94" s="14" t="n">
        <f aca="false">IFERROR((F93-F92)/F92,0)</f>
        <v>0.879166666666667</v>
      </c>
      <c r="G94" s="14" t="n">
        <f aca="false">IFERROR((G93-G92)/G92,0)</f>
        <v>0.358974358974359</v>
      </c>
      <c r="H94" s="14" t="n">
        <f aca="false">IFERROR((H93-H92)/H92,0)</f>
        <v>-0.211111111111111</v>
      </c>
      <c r="I94" s="14" t="n">
        <f aca="false">IFERROR((I93-I92)/I92,0)</f>
        <v>0.331159420289855</v>
      </c>
      <c r="J94" s="14" t="n">
        <f aca="false">IFERROR((J93-J92)/J92,0)</f>
        <v>1.59512195121951</v>
      </c>
      <c r="K94" s="15" t="n">
        <f aca="false">IFERROR((SUM(D93:J93)-SUM(D92:J92))/SUM(D92:J92),0)</f>
        <v>0.42987012987013</v>
      </c>
    </row>
    <row r="95" customFormat="false" ht="15" hidden="false" customHeight="true" outlineLevel="0" collapsed="false">
      <c r="A95" s="42" t="s">
        <v>82</v>
      </c>
      <c r="B95" s="43" t="s">
        <v>83</v>
      </c>
      <c r="C95" s="5" t="s">
        <v>26</v>
      </c>
      <c r="D95" s="6" t="n">
        <v>61</v>
      </c>
      <c r="E95" s="6" t="n">
        <v>59</v>
      </c>
      <c r="F95" s="6" t="n">
        <v>45</v>
      </c>
      <c r="G95" s="6" t="n">
        <v>56</v>
      </c>
      <c r="H95" s="6" t="n">
        <v>57</v>
      </c>
      <c r="I95" s="6" t="n">
        <v>65</v>
      </c>
      <c r="J95" s="6" t="n">
        <v>38</v>
      </c>
      <c r="K95" s="7" t="n">
        <f aca="false">SUM(D95:J95)</f>
        <v>381</v>
      </c>
    </row>
    <row r="96" customFormat="false" ht="15" hidden="false" customHeight="false" outlineLevel="0" collapsed="false">
      <c r="A96" s="42"/>
      <c r="B96" s="42"/>
      <c r="C96" s="44" t="s">
        <v>14</v>
      </c>
      <c r="D96" s="9" t="n">
        <v>51.4</v>
      </c>
      <c r="E96" s="9" t="n">
        <v>55.1</v>
      </c>
      <c r="F96" s="9" t="n">
        <v>64.4</v>
      </c>
      <c r="G96" s="9" t="n">
        <v>61.3</v>
      </c>
      <c r="H96" s="9" t="n">
        <v>64.3</v>
      </c>
      <c r="I96" s="9" t="n">
        <v>98.8</v>
      </c>
      <c r="J96" s="9" t="n">
        <v>70.4</v>
      </c>
      <c r="K96" s="10" t="n">
        <f aca="false">SUM(D96:J96)</f>
        <v>465.7</v>
      </c>
    </row>
    <row r="97" customFormat="false" ht="15" hidden="false" customHeight="false" outlineLevel="0" collapsed="false">
      <c r="A97" s="42"/>
      <c r="B97" s="42"/>
      <c r="C97" s="11" t="s">
        <v>41</v>
      </c>
      <c r="D97" s="14" t="n">
        <f aca="false">IFERROR((D96-D95)/D95,0)</f>
        <v>-0.157377049180328</v>
      </c>
      <c r="E97" s="14" t="n">
        <f aca="false">IFERROR((E96-E95)/E95,0)</f>
        <v>-0.0661016949152542</v>
      </c>
      <c r="F97" s="14" t="n">
        <f aca="false">IFERROR((F96-F95)/F95,0)</f>
        <v>0.431111111111111</v>
      </c>
      <c r="G97" s="14" t="n">
        <f aca="false">IFERROR((G96-G95)/G95,0)</f>
        <v>0.0946428571428571</v>
      </c>
      <c r="H97" s="14" t="n">
        <f aca="false">IFERROR((H96-H95)/H95,0)</f>
        <v>0.128070175438596</v>
      </c>
      <c r="I97" s="14" t="n">
        <f aca="false">IFERROR((I96-I95)/I95,0)</f>
        <v>0.52</v>
      </c>
      <c r="J97" s="14" t="n">
        <f aca="false">IFERROR((J96-J95)/J95,0)</f>
        <v>0.852631578947369</v>
      </c>
      <c r="K97" s="15" t="n">
        <f aca="false">IFERROR((SUM(D96:J96)-SUM(D95:J95))/SUM(D95:J95),0)</f>
        <v>0.222309711286089</v>
      </c>
    </row>
    <row r="98" customFormat="false" ht="15" hidden="false" customHeight="true" outlineLevel="0" collapsed="false">
      <c r="A98" s="42" t="s">
        <v>84</v>
      </c>
      <c r="B98" s="43" t="s">
        <v>60</v>
      </c>
      <c r="C98" s="5" t="s">
        <v>26</v>
      </c>
      <c r="D98" s="6" t="n">
        <v>37</v>
      </c>
      <c r="E98" s="6" t="n">
        <v>52</v>
      </c>
      <c r="F98" s="6" t="n">
        <v>43</v>
      </c>
      <c r="G98" s="6" t="n">
        <v>48</v>
      </c>
      <c r="H98" s="6" t="n">
        <v>57</v>
      </c>
      <c r="I98" s="6" t="n">
        <v>98</v>
      </c>
      <c r="J98" s="6" t="n">
        <v>40</v>
      </c>
      <c r="K98" s="7" t="n">
        <f aca="false">SUM(D98:J98)</f>
        <v>375</v>
      </c>
    </row>
    <row r="99" customFormat="false" ht="15" hidden="false" customHeight="false" outlineLevel="0" collapsed="false">
      <c r="A99" s="42"/>
      <c r="B99" s="42"/>
      <c r="C99" s="44" t="s">
        <v>14</v>
      </c>
      <c r="D99" s="9" t="n">
        <v>40.5</v>
      </c>
      <c r="E99" s="9" t="n">
        <v>45.8</v>
      </c>
      <c r="F99" s="9" t="n">
        <v>51.4</v>
      </c>
      <c r="G99" s="9" t="n">
        <v>64.8</v>
      </c>
      <c r="H99" s="9" t="n">
        <v>77.4</v>
      </c>
      <c r="I99" s="9" t="n">
        <v>114.4</v>
      </c>
      <c r="J99" s="9" t="n">
        <v>52.1</v>
      </c>
      <c r="K99" s="10" t="n">
        <f aca="false">SUM(D99:J99)</f>
        <v>446.4</v>
      </c>
    </row>
    <row r="100" customFormat="false" ht="15" hidden="false" customHeight="false" outlineLevel="0" collapsed="false">
      <c r="A100" s="42"/>
      <c r="B100" s="42"/>
      <c r="C100" s="11" t="s">
        <v>41</v>
      </c>
      <c r="D100" s="14" t="n">
        <f aca="false">IFERROR((D99-D98)/D98,0)</f>
        <v>0.0945945945945946</v>
      </c>
      <c r="E100" s="14" t="n">
        <f aca="false">IFERROR((E99-E98)/E98,0)</f>
        <v>-0.119230769230769</v>
      </c>
      <c r="F100" s="14" t="n">
        <f aca="false">IFERROR((F99-F98)/F98,0)</f>
        <v>0.195348837209302</v>
      </c>
      <c r="G100" s="14" t="n">
        <f aca="false">IFERROR((G99-G98)/G98,0)</f>
        <v>0.35</v>
      </c>
      <c r="H100" s="14" t="n">
        <f aca="false">IFERROR((H99-H98)/H98,0)</f>
        <v>0.357894736842105</v>
      </c>
      <c r="I100" s="14" t="n">
        <f aca="false">IFERROR((I99-I98)/I98,0)</f>
        <v>0.16734693877551</v>
      </c>
      <c r="J100" s="14" t="n">
        <f aca="false">IFERROR((J99-J98)/J98,0)</f>
        <v>0.3025</v>
      </c>
      <c r="K100" s="15" t="n">
        <f aca="false">IFERROR((SUM(D99:J99)-SUM(D98:J98))/SUM(D98:J98),0)</f>
        <v>0.1904</v>
      </c>
    </row>
    <row r="101" customFormat="false" ht="15" hidden="false" customHeight="true" outlineLevel="0" collapsed="false">
      <c r="A101" s="42" t="s">
        <v>85</v>
      </c>
      <c r="B101" s="43" t="s">
        <v>49</v>
      </c>
      <c r="C101" s="5" t="s">
        <v>26</v>
      </c>
      <c r="D101" s="6" t="n">
        <v>26</v>
      </c>
      <c r="E101" s="6" t="n">
        <v>20</v>
      </c>
      <c r="F101" s="6" t="n">
        <v>32</v>
      </c>
      <c r="G101" s="6" t="n">
        <v>51</v>
      </c>
      <c r="H101" s="6" t="n">
        <v>75</v>
      </c>
      <c r="I101" s="6" t="n">
        <v>124</v>
      </c>
      <c r="J101" s="6" t="n">
        <v>46</v>
      </c>
      <c r="K101" s="7" t="n">
        <f aca="false">SUM(D101:J101)</f>
        <v>374</v>
      </c>
    </row>
    <row r="102" customFormat="false" ht="15" hidden="false" customHeight="false" outlineLevel="0" collapsed="false">
      <c r="A102" s="42"/>
      <c r="B102" s="42"/>
      <c r="C102" s="44" t="s">
        <v>14</v>
      </c>
      <c r="D102" s="9" t="n">
        <v>44.2</v>
      </c>
      <c r="E102" s="9" t="n">
        <v>34.5</v>
      </c>
      <c r="F102" s="9" t="n">
        <v>38.9</v>
      </c>
      <c r="G102" s="9" t="n">
        <v>57.7</v>
      </c>
      <c r="H102" s="9" t="n">
        <v>74.3</v>
      </c>
      <c r="I102" s="9" t="n">
        <v>159.4</v>
      </c>
      <c r="J102" s="9" t="n">
        <v>88</v>
      </c>
      <c r="K102" s="10" t="n">
        <f aca="false">SUM(D102:J102)</f>
        <v>497</v>
      </c>
    </row>
    <row r="103" customFormat="false" ht="15" hidden="false" customHeight="false" outlineLevel="0" collapsed="false">
      <c r="A103" s="42"/>
      <c r="B103" s="42"/>
      <c r="C103" s="11" t="s">
        <v>41</v>
      </c>
      <c r="D103" s="14" t="n">
        <f aca="false">IFERROR((D102-D101)/D101,0)</f>
        <v>0.7</v>
      </c>
      <c r="E103" s="14" t="n">
        <f aca="false">IFERROR((E102-E101)/E101,0)</f>
        <v>0.725</v>
      </c>
      <c r="F103" s="14" t="n">
        <f aca="false">IFERROR((F102-F101)/F101,0)</f>
        <v>0.215625</v>
      </c>
      <c r="G103" s="14" t="n">
        <f aca="false">IFERROR((G102-G101)/G101,0)</f>
        <v>0.131372549019608</v>
      </c>
      <c r="H103" s="14" t="n">
        <f aca="false">IFERROR((H102-H101)/H101,0)</f>
        <v>-0.00933333333333337</v>
      </c>
      <c r="I103" s="14" t="n">
        <f aca="false">IFERROR((I102-I101)/I101,0)</f>
        <v>0.285483870967742</v>
      </c>
      <c r="J103" s="14" t="n">
        <f aca="false">IFERROR((J102-J101)/J101,0)</f>
        <v>0.91304347826087</v>
      </c>
      <c r="K103" s="15" t="n">
        <f aca="false">IFERROR((SUM(D102:J102)-SUM(D101:J101))/SUM(D101:J101),0)</f>
        <v>0.328877005347594</v>
      </c>
    </row>
    <row r="104" customFormat="false" ht="15" hidden="false" customHeight="true" outlineLevel="0" collapsed="false">
      <c r="A104" s="42" t="s">
        <v>86</v>
      </c>
      <c r="B104" s="43" t="s">
        <v>54</v>
      </c>
      <c r="C104" s="5" t="s">
        <v>26</v>
      </c>
      <c r="D104" s="6" t="n">
        <v>29</v>
      </c>
      <c r="E104" s="6" t="n">
        <v>39</v>
      </c>
      <c r="F104" s="6" t="n">
        <v>42</v>
      </c>
      <c r="G104" s="6" t="n">
        <v>57</v>
      </c>
      <c r="H104" s="6" t="n">
        <v>56</v>
      </c>
      <c r="I104" s="6" t="n">
        <v>108</v>
      </c>
      <c r="J104" s="6" t="n">
        <v>33</v>
      </c>
      <c r="K104" s="7" t="n">
        <f aca="false">SUM(D104:J104)</f>
        <v>364</v>
      </c>
    </row>
    <row r="105" customFormat="false" ht="15" hidden="false" customHeight="false" outlineLevel="0" collapsed="false">
      <c r="A105" s="42"/>
      <c r="B105" s="42"/>
      <c r="C105" s="44" t="s">
        <v>14</v>
      </c>
      <c r="D105" s="9" t="n">
        <v>33</v>
      </c>
      <c r="E105" s="9" t="n">
        <v>37.2</v>
      </c>
      <c r="F105" s="9" t="n">
        <v>46.2</v>
      </c>
      <c r="G105" s="9" t="n">
        <v>60.1</v>
      </c>
      <c r="H105" s="9" t="n">
        <v>70.8</v>
      </c>
      <c r="I105" s="9" t="n">
        <v>125.2</v>
      </c>
      <c r="J105" s="9" t="n">
        <v>41</v>
      </c>
      <c r="K105" s="10" t="n">
        <f aca="false">SUM(D105:J105)</f>
        <v>413.5</v>
      </c>
    </row>
    <row r="106" customFormat="false" ht="15" hidden="false" customHeight="false" outlineLevel="0" collapsed="false">
      <c r="A106" s="42"/>
      <c r="B106" s="42"/>
      <c r="C106" s="11" t="s">
        <v>41</v>
      </c>
      <c r="D106" s="14" t="n">
        <f aca="false">IFERROR((D105-D104)/D104,0)</f>
        <v>0.137931034482759</v>
      </c>
      <c r="E106" s="14" t="n">
        <f aca="false">IFERROR((E105-E104)/E104,0)</f>
        <v>-0.0461538461538461</v>
      </c>
      <c r="F106" s="14" t="n">
        <f aca="false">IFERROR((F105-F104)/F104,0)</f>
        <v>0.1</v>
      </c>
      <c r="G106" s="14" t="n">
        <f aca="false">IFERROR((G105-G104)/G104,0)</f>
        <v>0.0543859649122807</v>
      </c>
      <c r="H106" s="14" t="n">
        <f aca="false">IFERROR((H105-H104)/H104,0)</f>
        <v>0.264285714285714</v>
      </c>
      <c r="I106" s="14" t="n">
        <f aca="false">IFERROR((I105-I104)/I104,0)</f>
        <v>0.159259259259259</v>
      </c>
      <c r="J106" s="14" t="n">
        <f aca="false">IFERROR((J105-J104)/J104,0)</f>
        <v>0.242424242424242</v>
      </c>
      <c r="K106" s="15" t="n">
        <f aca="false">IFERROR((SUM(D105:J105)-SUM(D104:J104))/SUM(D104:J104),0)</f>
        <v>0.135989010989011</v>
      </c>
    </row>
    <row r="107" customFormat="false" ht="15" hidden="false" customHeight="true" outlineLevel="0" collapsed="false">
      <c r="A107" s="42" t="s">
        <v>87</v>
      </c>
      <c r="B107" s="43" t="s">
        <v>88</v>
      </c>
      <c r="C107" s="5" t="s">
        <v>26</v>
      </c>
      <c r="D107" s="6" t="n">
        <v>17</v>
      </c>
      <c r="E107" s="6" t="n">
        <v>51</v>
      </c>
      <c r="F107" s="6" t="n">
        <v>37</v>
      </c>
      <c r="G107" s="6" t="n">
        <v>53</v>
      </c>
      <c r="H107" s="6" t="n">
        <v>42</v>
      </c>
      <c r="I107" s="6" t="n">
        <v>122</v>
      </c>
      <c r="J107" s="6" t="n">
        <v>41</v>
      </c>
      <c r="K107" s="7" t="n">
        <f aca="false">SUM(D107:J107)</f>
        <v>363</v>
      </c>
    </row>
    <row r="108" customFormat="false" ht="15" hidden="false" customHeight="false" outlineLevel="0" collapsed="false">
      <c r="A108" s="42"/>
      <c r="B108" s="42"/>
      <c r="C108" s="44" t="s">
        <v>14</v>
      </c>
      <c r="D108" s="9" t="n">
        <v>24.6</v>
      </c>
      <c r="E108" s="9" t="n">
        <v>35.5</v>
      </c>
      <c r="F108" s="9" t="n">
        <v>37.7</v>
      </c>
      <c r="G108" s="9" t="n">
        <v>51.3</v>
      </c>
      <c r="H108" s="9" t="n">
        <v>73.9</v>
      </c>
      <c r="I108" s="9" t="n">
        <v>129.3</v>
      </c>
      <c r="J108" s="9" t="n">
        <v>79.6</v>
      </c>
      <c r="K108" s="10" t="n">
        <f aca="false">SUM(D108:J108)</f>
        <v>431.9</v>
      </c>
    </row>
    <row r="109" customFormat="false" ht="15" hidden="false" customHeight="false" outlineLevel="0" collapsed="false">
      <c r="A109" s="42"/>
      <c r="B109" s="42"/>
      <c r="C109" s="11" t="s">
        <v>41</v>
      </c>
      <c r="D109" s="14" t="n">
        <f aca="false">IFERROR((D108-D107)/D107,0)</f>
        <v>0.447058823529412</v>
      </c>
      <c r="E109" s="14" t="n">
        <f aca="false">IFERROR((E108-E107)/E107,0)</f>
        <v>-0.303921568627451</v>
      </c>
      <c r="F109" s="14" t="n">
        <f aca="false">IFERROR((F108-F107)/F107,0)</f>
        <v>0.018918918918919</v>
      </c>
      <c r="G109" s="14" t="n">
        <f aca="false">IFERROR((G108-G107)/G107,0)</f>
        <v>-0.0320754716981133</v>
      </c>
      <c r="H109" s="14" t="n">
        <f aca="false">IFERROR((H108-H107)/H107,0)</f>
        <v>0.75952380952381</v>
      </c>
      <c r="I109" s="14" t="n">
        <f aca="false">IFERROR((I108-I107)/I107,0)</f>
        <v>0.0598360655737706</v>
      </c>
      <c r="J109" s="14" t="n">
        <f aca="false">IFERROR((J108-J107)/J107,0)</f>
        <v>0.941463414634146</v>
      </c>
      <c r="K109" s="15" t="n">
        <f aca="false">IFERROR((SUM(D108:J108)-SUM(D107:J107))/SUM(D107:J107),0)</f>
        <v>0.189807162534435</v>
      </c>
    </row>
    <row r="110" customFormat="false" ht="15" hidden="false" customHeight="true" outlineLevel="0" collapsed="false">
      <c r="A110" s="42" t="s">
        <v>89</v>
      </c>
      <c r="B110" s="43" t="s">
        <v>58</v>
      </c>
      <c r="C110" s="5" t="s">
        <v>26</v>
      </c>
      <c r="D110" s="6" t="n">
        <v>38</v>
      </c>
      <c r="E110" s="6" t="n">
        <v>49</v>
      </c>
      <c r="F110" s="6" t="n">
        <v>38</v>
      </c>
      <c r="G110" s="6" t="n">
        <v>39</v>
      </c>
      <c r="H110" s="6" t="n">
        <v>45</v>
      </c>
      <c r="I110" s="6" t="n">
        <v>99</v>
      </c>
      <c r="J110" s="6" t="n">
        <v>50</v>
      </c>
      <c r="K110" s="7" t="n">
        <f aca="false">SUM(D110:J110)</f>
        <v>358</v>
      </c>
    </row>
    <row r="111" customFormat="false" ht="15" hidden="false" customHeight="false" outlineLevel="0" collapsed="false">
      <c r="A111" s="42"/>
      <c r="B111" s="42"/>
      <c r="C111" s="44" t="s">
        <v>14</v>
      </c>
      <c r="D111" s="9" t="n">
        <v>41.3</v>
      </c>
      <c r="E111" s="9" t="n">
        <v>42.9</v>
      </c>
      <c r="F111" s="9" t="n">
        <v>45.9</v>
      </c>
      <c r="G111" s="9" t="n">
        <v>59</v>
      </c>
      <c r="H111" s="9" t="n">
        <v>69.9</v>
      </c>
      <c r="I111" s="9" t="n">
        <v>103.4</v>
      </c>
      <c r="J111" s="9" t="n">
        <v>56.9</v>
      </c>
      <c r="K111" s="10" t="n">
        <f aca="false">SUM(D111:J111)</f>
        <v>419.3</v>
      </c>
    </row>
    <row r="112" customFormat="false" ht="15" hidden="false" customHeight="false" outlineLevel="0" collapsed="false">
      <c r="A112" s="42"/>
      <c r="B112" s="42"/>
      <c r="C112" s="11" t="s">
        <v>41</v>
      </c>
      <c r="D112" s="14" t="n">
        <f aca="false">IFERROR((D111-D110)/D110,0)</f>
        <v>0.0868421052631578</v>
      </c>
      <c r="E112" s="14" t="n">
        <f aca="false">IFERROR((E111-E110)/E110,0)</f>
        <v>-0.124489795918367</v>
      </c>
      <c r="F112" s="14" t="n">
        <f aca="false">IFERROR((F111-F110)/F110,0)</f>
        <v>0.207894736842105</v>
      </c>
      <c r="G112" s="14" t="n">
        <f aca="false">IFERROR((G111-G110)/G110,0)</f>
        <v>0.512820512820513</v>
      </c>
      <c r="H112" s="14" t="n">
        <f aca="false">IFERROR((H111-H110)/H110,0)</f>
        <v>0.553333333333334</v>
      </c>
      <c r="I112" s="14" t="n">
        <f aca="false">IFERROR((I111-I110)/I110,0)</f>
        <v>0.0444444444444445</v>
      </c>
      <c r="J112" s="14" t="n">
        <f aca="false">IFERROR((J111-J110)/J110,0)</f>
        <v>0.138</v>
      </c>
      <c r="K112" s="15" t="n">
        <f aca="false">IFERROR((SUM(D111:J111)-SUM(D110:J110))/SUM(D110:J110),0)</f>
        <v>0.171229050279329</v>
      </c>
    </row>
    <row r="113" customFormat="false" ht="15" hidden="false" customHeight="true" outlineLevel="0" collapsed="false">
      <c r="A113" s="42" t="s">
        <v>90</v>
      </c>
      <c r="B113" s="43" t="s">
        <v>52</v>
      </c>
      <c r="C113" s="5" t="s">
        <v>26</v>
      </c>
      <c r="D113" s="6" t="n">
        <v>50</v>
      </c>
      <c r="E113" s="6" t="n">
        <v>68</v>
      </c>
      <c r="F113" s="6" t="n">
        <v>39</v>
      </c>
      <c r="G113" s="6" t="n">
        <v>47</v>
      </c>
      <c r="H113" s="6" t="n">
        <v>47</v>
      </c>
      <c r="I113" s="6" t="n">
        <v>65</v>
      </c>
      <c r="J113" s="6" t="n">
        <v>36</v>
      </c>
      <c r="K113" s="7" t="n">
        <f aca="false">SUM(D113:J113)</f>
        <v>352</v>
      </c>
    </row>
    <row r="114" customFormat="false" ht="15" hidden="false" customHeight="false" outlineLevel="0" collapsed="false">
      <c r="A114" s="42"/>
      <c r="B114" s="42"/>
      <c r="C114" s="44" t="s">
        <v>14</v>
      </c>
      <c r="D114" s="9" t="n">
        <v>49.7</v>
      </c>
      <c r="E114" s="9" t="n">
        <v>55.1</v>
      </c>
      <c r="F114" s="9" t="n">
        <v>64.3</v>
      </c>
      <c r="G114" s="9" t="n">
        <v>55.3</v>
      </c>
      <c r="H114" s="9" t="n">
        <v>58.1</v>
      </c>
      <c r="I114" s="9" t="n">
        <v>82.2</v>
      </c>
      <c r="J114" s="9" t="n">
        <v>65.7</v>
      </c>
      <c r="K114" s="10" t="n">
        <f aca="false">SUM(D114:J114)</f>
        <v>430.4</v>
      </c>
    </row>
    <row r="115" customFormat="false" ht="15" hidden="false" customHeight="false" outlineLevel="0" collapsed="false">
      <c r="A115" s="42"/>
      <c r="B115" s="42"/>
      <c r="C115" s="11" t="s">
        <v>41</v>
      </c>
      <c r="D115" s="14" t="n">
        <f aca="false">IFERROR((D114-D113)/D113,0)</f>
        <v>-0.00599999999999994</v>
      </c>
      <c r="E115" s="14" t="n">
        <f aca="false">IFERROR((E114-E113)/E113,0)</f>
        <v>-0.189705882352941</v>
      </c>
      <c r="F115" s="14" t="n">
        <f aca="false">IFERROR((F114-F113)/F113,0)</f>
        <v>0.648717948717949</v>
      </c>
      <c r="G115" s="14" t="n">
        <f aca="false">IFERROR((G114-G113)/G113,0)</f>
        <v>0.176595744680851</v>
      </c>
      <c r="H115" s="14" t="n">
        <f aca="false">IFERROR((H114-H113)/H113,0)</f>
        <v>0.236170212765957</v>
      </c>
      <c r="I115" s="14" t="n">
        <f aca="false">IFERROR((I114-I113)/I113,0)</f>
        <v>0.264615384615385</v>
      </c>
      <c r="J115" s="14" t="n">
        <f aca="false">IFERROR((J114-J113)/J113,0)</f>
        <v>0.825</v>
      </c>
      <c r="K115" s="15" t="n">
        <f aca="false">IFERROR((SUM(D114:J114)-SUM(D113:J113))/SUM(D113:J113),0)</f>
        <v>0.222727272727273</v>
      </c>
    </row>
    <row r="116" customFormat="false" ht="15" hidden="false" customHeight="true" outlineLevel="0" collapsed="false">
      <c r="A116" s="42" t="s">
        <v>91</v>
      </c>
      <c r="B116" s="43" t="s">
        <v>68</v>
      </c>
      <c r="C116" s="5" t="s">
        <v>26</v>
      </c>
      <c r="D116" s="6" t="n">
        <v>37</v>
      </c>
      <c r="E116" s="6" t="n">
        <v>25</v>
      </c>
      <c r="F116" s="6" t="n">
        <v>22</v>
      </c>
      <c r="G116" s="6" t="n">
        <v>34</v>
      </c>
      <c r="H116" s="6" t="n">
        <v>40</v>
      </c>
      <c r="I116" s="6" t="n">
        <v>129</v>
      </c>
      <c r="J116" s="6" t="n">
        <v>63</v>
      </c>
      <c r="K116" s="7" t="n">
        <f aca="false">SUM(D116:J116)</f>
        <v>350</v>
      </c>
    </row>
    <row r="117" customFormat="false" ht="15" hidden="false" customHeight="false" outlineLevel="0" collapsed="false">
      <c r="A117" s="42"/>
      <c r="B117" s="42"/>
      <c r="C117" s="44" t="s">
        <v>14</v>
      </c>
      <c r="D117" s="9" t="n">
        <v>27.2</v>
      </c>
      <c r="E117" s="9" t="n">
        <v>31.5</v>
      </c>
      <c r="F117" s="9" t="n">
        <v>37.1</v>
      </c>
      <c r="G117" s="9" t="n">
        <v>44</v>
      </c>
      <c r="H117" s="9" t="n">
        <v>50.2</v>
      </c>
      <c r="I117" s="9" t="n">
        <v>106.3</v>
      </c>
      <c r="J117" s="9" t="n">
        <v>52.6</v>
      </c>
      <c r="K117" s="10" t="n">
        <f aca="false">SUM(D117:J117)</f>
        <v>348.9</v>
      </c>
    </row>
    <row r="118" customFormat="false" ht="15" hidden="false" customHeight="false" outlineLevel="0" collapsed="false">
      <c r="A118" s="42"/>
      <c r="B118" s="42"/>
      <c r="C118" s="11" t="s">
        <v>41</v>
      </c>
      <c r="D118" s="14" t="n">
        <f aca="false">IFERROR((D117-D116)/D116,0)</f>
        <v>-0.264864864864865</v>
      </c>
      <c r="E118" s="14" t="n">
        <f aca="false">IFERROR((E117-E116)/E116,0)</f>
        <v>0.26</v>
      </c>
      <c r="F118" s="14" t="n">
        <f aca="false">IFERROR((F117-F116)/F116,0)</f>
        <v>0.686363636363636</v>
      </c>
      <c r="G118" s="14" t="n">
        <f aca="false">IFERROR((G117-G116)/G116,0)</f>
        <v>0.294117647058824</v>
      </c>
      <c r="H118" s="14" t="n">
        <f aca="false">IFERROR((H117-H116)/H116,0)</f>
        <v>0.255</v>
      </c>
      <c r="I118" s="14" t="n">
        <f aca="false">IFERROR((I117-I116)/I116,0)</f>
        <v>-0.175968992248062</v>
      </c>
      <c r="J118" s="14" t="n">
        <f aca="false">IFERROR((J117-J116)/J116,0)</f>
        <v>-0.165079365079365</v>
      </c>
      <c r="K118" s="15" t="n">
        <f aca="false">IFERROR((SUM(D117:J117)-SUM(D116:J116))/SUM(D116:J116),0)</f>
        <v>-0.00314285714285705</v>
      </c>
    </row>
    <row r="119" customFormat="false" ht="15" hidden="false" customHeight="true" outlineLevel="0" collapsed="false">
      <c r="A119" s="42" t="s">
        <v>92</v>
      </c>
      <c r="B119" s="43" t="s">
        <v>47</v>
      </c>
      <c r="C119" s="5" t="s">
        <v>26</v>
      </c>
      <c r="D119" s="6" t="n">
        <v>35</v>
      </c>
      <c r="E119" s="6" t="n">
        <v>41</v>
      </c>
      <c r="F119" s="6" t="n">
        <v>37</v>
      </c>
      <c r="G119" s="6" t="n">
        <v>49</v>
      </c>
      <c r="H119" s="6" t="n">
        <v>56</v>
      </c>
      <c r="I119" s="6" t="n">
        <v>86</v>
      </c>
      <c r="J119" s="6" t="n">
        <v>36</v>
      </c>
      <c r="K119" s="7" t="n">
        <f aca="false">SUM(D119:J119)</f>
        <v>340</v>
      </c>
    </row>
    <row r="120" customFormat="false" ht="15" hidden="false" customHeight="false" outlineLevel="0" collapsed="false">
      <c r="A120" s="42"/>
      <c r="B120" s="42"/>
      <c r="C120" s="44" t="s">
        <v>14</v>
      </c>
      <c r="D120" s="9" t="n">
        <v>29.4</v>
      </c>
      <c r="E120" s="9" t="n">
        <v>38.3</v>
      </c>
      <c r="F120" s="9" t="n">
        <v>38.7</v>
      </c>
      <c r="G120" s="9" t="n">
        <v>53</v>
      </c>
      <c r="H120" s="9" t="n">
        <v>59.8</v>
      </c>
      <c r="I120" s="9" t="n">
        <v>111.9</v>
      </c>
      <c r="J120" s="9" t="n">
        <v>52</v>
      </c>
      <c r="K120" s="10" t="n">
        <f aca="false">SUM(D120:J120)</f>
        <v>383.1</v>
      </c>
    </row>
    <row r="121" customFormat="false" ht="15" hidden="false" customHeight="false" outlineLevel="0" collapsed="false">
      <c r="A121" s="42"/>
      <c r="B121" s="42"/>
      <c r="C121" s="11" t="s">
        <v>41</v>
      </c>
      <c r="D121" s="14" t="n">
        <f aca="false">IFERROR((D120-D119)/D119,0)</f>
        <v>-0.16</v>
      </c>
      <c r="E121" s="14" t="n">
        <f aca="false">IFERROR((E120-E119)/E119,0)</f>
        <v>-0.0658536585365854</v>
      </c>
      <c r="F121" s="14" t="n">
        <f aca="false">IFERROR((F120-F119)/F119,0)</f>
        <v>0.045945945945946</v>
      </c>
      <c r="G121" s="14" t="n">
        <f aca="false">IFERROR((G120-G119)/G119,0)</f>
        <v>0.0816326530612245</v>
      </c>
      <c r="H121" s="14" t="n">
        <f aca="false">IFERROR((H120-H119)/H119,0)</f>
        <v>0.0678571428571428</v>
      </c>
      <c r="I121" s="14" t="n">
        <f aca="false">IFERROR((I120-I119)/I119,0)</f>
        <v>0.301162790697675</v>
      </c>
      <c r="J121" s="14" t="n">
        <f aca="false">IFERROR((J120-J119)/J119,0)</f>
        <v>0.444444444444444</v>
      </c>
      <c r="K121" s="15" t="n">
        <f aca="false">IFERROR((SUM(D120:J120)-SUM(D119:J119))/SUM(D119:J119),0)</f>
        <v>0.126764705882353</v>
      </c>
    </row>
    <row r="122" customFormat="false" ht="15" hidden="false" customHeight="true" outlineLevel="0" collapsed="false">
      <c r="A122" s="42" t="s">
        <v>93</v>
      </c>
      <c r="B122" s="43" t="s">
        <v>83</v>
      </c>
      <c r="C122" s="5" t="s">
        <v>26</v>
      </c>
      <c r="D122" s="6" t="n">
        <v>19</v>
      </c>
      <c r="E122" s="6" t="n">
        <v>12</v>
      </c>
      <c r="F122" s="6" t="n">
        <v>19</v>
      </c>
      <c r="G122" s="6" t="n">
        <v>28</v>
      </c>
      <c r="H122" s="6" t="n">
        <v>43</v>
      </c>
      <c r="I122" s="6" t="n">
        <v>143</v>
      </c>
      <c r="J122" s="6" t="n">
        <v>75</v>
      </c>
      <c r="K122" s="7" t="n">
        <f aca="false">SUM(D122:J122)</f>
        <v>339</v>
      </c>
    </row>
    <row r="123" customFormat="false" ht="15" hidden="false" customHeight="false" outlineLevel="0" collapsed="false">
      <c r="A123" s="42"/>
      <c r="B123" s="42"/>
      <c r="C123" s="44" t="s">
        <v>14</v>
      </c>
      <c r="D123" s="9" t="n">
        <v>15.2</v>
      </c>
      <c r="E123" s="9" t="n">
        <v>14.7</v>
      </c>
      <c r="F123" s="9" t="n">
        <v>18.9</v>
      </c>
      <c r="G123" s="9" t="n">
        <v>28</v>
      </c>
      <c r="H123" s="9" t="n">
        <v>40.7</v>
      </c>
      <c r="I123" s="9" t="n">
        <v>102.7</v>
      </c>
      <c r="J123" s="9" t="n">
        <v>65.8</v>
      </c>
      <c r="K123" s="10" t="n">
        <f aca="false">SUM(D123:J123)</f>
        <v>286</v>
      </c>
    </row>
    <row r="124" customFormat="false" ht="15" hidden="false" customHeight="false" outlineLevel="0" collapsed="false">
      <c r="A124" s="42"/>
      <c r="B124" s="42"/>
      <c r="C124" s="11" t="s">
        <v>41</v>
      </c>
      <c r="D124" s="14" t="n">
        <f aca="false">IFERROR((D123-D122)/D122,0)</f>
        <v>-0.2</v>
      </c>
      <c r="E124" s="14" t="n">
        <f aca="false">IFERROR((E123-E122)/E122,0)</f>
        <v>0.225</v>
      </c>
      <c r="F124" s="14" t="n">
        <f aca="false">IFERROR((F123-F122)/F122,0)</f>
        <v>-0.00526315789473692</v>
      </c>
      <c r="G124" s="14" t="n">
        <f aca="false">IFERROR((G123-G122)/G122,0)</f>
        <v>0</v>
      </c>
      <c r="H124" s="14" t="n">
        <f aca="false">IFERROR((H123-H122)/H122,0)</f>
        <v>-0.0534883720930232</v>
      </c>
      <c r="I124" s="14" t="n">
        <f aca="false">IFERROR((I123-I122)/I122,0)</f>
        <v>-0.281818181818182</v>
      </c>
      <c r="J124" s="14" t="n">
        <f aca="false">IFERROR((J123-J122)/J122,0)</f>
        <v>-0.122666666666667</v>
      </c>
      <c r="K124" s="15" t="n">
        <f aca="false">IFERROR((SUM(D123:J123)-SUM(D122:J122))/SUM(D122:J122),0)</f>
        <v>-0.156342182890855</v>
      </c>
    </row>
    <row r="125" customFormat="false" ht="15" hidden="false" customHeight="true" outlineLevel="0" collapsed="false">
      <c r="A125" s="42" t="s">
        <v>94</v>
      </c>
      <c r="B125" s="43" t="s">
        <v>49</v>
      </c>
      <c r="C125" s="5" t="s">
        <v>26</v>
      </c>
      <c r="D125" s="6" t="n">
        <v>35</v>
      </c>
      <c r="E125" s="6" t="n">
        <v>27</v>
      </c>
      <c r="F125" s="6" t="n">
        <v>27</v>
      </c>
      <c r="G125" s="6" t="n">
        <v>44</v>
      </c>
      <c r="H125" s="6" t="n">
        <v>61</v>
      </c>
      <c r="I125" s="6" t="n">
        <v>84</v>
      </c>
      <c r="J125" s="6" t="n">
        <v>51</v>
      </c>
      <c r="K125" s="7" t="n">
        <f aca="false">SUM(D125:J125)</f>
        <v>329</v>
      </c>
    </row>
    <row r="126" customFormat="false" ht="15" hidden="false" customHeight="false" outlineLevel="0" collapsed="false">
      <c r="A126" s="42"/>
      <c r="B126" s="42"/>
      <c r="C126" s="44" t="s">
        <v>14</v>
      </c>
      <c r="D126" s="9" t="n">
        <v>32.7</v>
      </c>
      <c r="E126" s="9" t="n">
        <v>32.2</v>
      </c>
      <c r="F126" s="9" t="n">
        <v>36.3</v>
      </c>
      <c r="G126" s="9" t="n">
        <v>53.2</v>
      </c>
      <c r="H126" s="9" t="n">
        <v>60.3</v>
      </c>
      <c r="I126" s="9" t="n">
        <v>122</v>
      </c>
      <c r="J126" s="9" t="n">
        <v>76.5</v>
      </c>
      <c r="K126" s="10" t="n">
        <f aca="false">SUM(D126:J126)</f>
        <v>413.2</v>
      </c>
    </row>
    <row r="127" customFormat="false" ht="15" hidden="false" customHeight="false" outlineLevel="0" collapsed="false">
      <c r="A127" s="42"/>
      <c r="B127" s="42"/>
      <c r="C127" s="11" t="s">
        <v>41</v>
      </c>
      <c r="D127" s="14" t="n">
        <f aca="false">IFERROR((D126-D125)/D125,0)</f>
        <v>-0.0657142857142856</v>
      </c>
      <c r="E127" s="14" t="n">
        <f aca="false">IFERROR((E126-E125)/E125,0)</f>
        <v>0.192592592592593</v>
      </c>
      <c r="F127" s="14" t="n">
        <f aca="false">IFERROR((F126-F125)/F125,0)</f>
        <v>0.344444444444444</v>
      </c>
      <c r="G127" s="14" t="n">
        <f aca="false">IFERROR((G126-G125)/G125,0)</f>
        <v>0.209090909090909</v>
      </c>
      <c r="H127" s="14" t="n">
        <f aca="false">IFERROR((H126-H125)/H125,0)</f>
        <v>-0.0114754098360656</v>
      </c>
      <c r="I127" s="14" t="n">
        <f aca="false">IFERROR((I126-I125)/I125,0)</f>
        <v>0.452380952380952</v>
      </c>
      <c r="J127" s="14" t="n">
        <f aca="false">IFERROR((J126-J125)/J125,0)</f>
        <v>0.5</v>
      </c>
      <c r="K127" s="15" t="n">
        <f aca="false">IFERROR((SUM(D126:J126)-SUM(D125:J125))/SUM(D125:J125),0)</f>
        <v>0.255927051671732</v>
      </c>
    </row>
    <row r="128" customFormat="false" ht="15" hidden="false" customHeight="true" outlineLevel="0" collapsed="false">
      <c r="A128" s="42" t="s">
        <v>95</v>
      </c>
      <c r="B128" s="43" t="s">
        <v>49</v>
      </c>
      <c r="C128" s="5" t="s">
        <v>26</v>
      </c>
      <c r="D128" s="6" t="n">
        <v>69</v>
      </c>
      <c r="E128" s="6" t="n">
        <v>43</v>
      </c>
      <c r="F128" s="6" t="n">
        <v>31</v>
      </c>
      <c r="G128" s="6" t="n">
        <v>33</v>
      </c>
      <c r="H128" s="6" t="n">
        <v>49</v>
      </c>
      <c r="I128" s="6" t="n">
        <v>73</v>
      </c>
      <c r="J128" s="6" t="n">
        <v>24</v>
      </c>
      <c r="K128" s="7" t="n">
        <f aca="false">SUM(D128:J128)</f>
        <v>322</v>
      </c>
    </row>
    <row r="129" customFormat="false" ht="15" hidden="false" customHeight="false" outlineLevel="0" collapsed="false">
      <c r="A129" s="42"/>
      <c r="B129" s="42"/>
      <c r="C129" s="44" t="s">
        <v>14</v>
      </c>
      <c r="D129" s="9" t="n">
        <v>46.6</v>
      </c>
      <c r="E129" s="9" t="n">
        <v>50.8</v>
      </c>
      <c r="F129" s="9" t="n">
        <v>41.2</v>
      </c>
      <c r="G129" s="9" t="n">
        <v>51.4</v>
      </c>
      <c r="H129" s="9" t="n">
        <v>45.5</v>
      </c>
      <c r="I129" s="9" t="n">
        <v>85.8</v>
      </c>
      <c r="J129" s="9" t="n">
        <v>42.1</v>
      </c>
      <c r="K129" s="10" t="n">
        <f aca="false">SUM(D129:J129)</f>
        <v>363.4</v>
      </c>
    </row>
    <row r="130" customFormat="false" ht="15" hidden="false" customHeight="false" outlineLevel="0" collapsed="false">
      <c r="A130" s="42"/>
      <c r="B130" s="42"/>
      <c r="C130" s="11" t="s">
        <v>41</v>
      </c>
      <c r="D130" s="14" t="n">
        <f aca="false">IFERROR((D129-D128)/D128,0)</f>
        <v>-0.32463768115942</v>
      </c>
      <c r="E130" s="14" t="n">
        <f aca="false">IFERROR((E129-E128)/E128,0)</f>
        <v>0.181395348837209</v>
      </c>
      <c r="F130" s="14" t="n">
        <f aca="false">IFERROR((F129-F128)/F128,0)</f>
        <v>0.329032258064516</v>
      </c>
      <c r="G130" s="14" t="n">
        <f aca="false">IFERROR((G129-G128)/G128,0)</f>
        <v>0.557575757575758</v>
      </c>
      <c r="H130" s="14" t="n">
        <f aca="false">IFERROR((H129-H128)/H128,0)</f>
        <v>-0.0714285714285714</v>
      </c>
      <c r="I130" s="14" t="n">
        <f aca="false">IFERROR((I129-I128)/I128,0)</f>
        <v>0.175342465753425</v>
      </c>
      <c r="J130" s="14" t="n">
        <f aca="false">IFERROR((J129-J128)/J128,0)</f>
        <v>0.754166666666667</v>
      </c>
      <c r="K130" s="15" t="n">
        <f aca="false">IFERROR((SUM(D129:J129)-SUM(D128:J128))/SUM(D128:J128),0)</f>
        <v>0.128571428571429</v>
      </c>
    </row>
    <row r="131" customFormat="false" ht="15" hidden="false" customHeight="true" outlineLevel="0" collapsed="false">
      <c r="A131" s="42" t="s">
        <v>96</v>
      </c>
      <c r="B131" s="43" t="s">
        <v>97</v>
      </c>
      <c r="C131" s="5" t="s">
        <v>26</v>
      </c>
      <c r="D131" s="6" t="n">
        <v>31</v>
      </c>
      <c r="E131" s="6" t="n">
        <v>37</v>
      </c>
      <c r="F131" s="6" t="n">
        <v>30</v>
      </c>
      <c r="G131" s="6" t="n">
        <v>25</v>
      </c>
      <c r="H131" s="6" t="n">
        <v>33</v>
      </c>
      <c r="I131" s="6" t="n">
        <v>110</v>
      </c>
      <c r="J131" s="6" t="n">
        <v>53</v>
      </c>
      <c r="K131" s="7" t="n">
        <f aca="false">SUM(D131:J131)</f>
        <v>319</v>
      </c>
    </row>
    <row r="132" customFormat="false" ht="15" hidden="false" customHeight="false" outlineLevel="0" collapsed="false">
      <c r="A132" s="42"/>
      <c r="B132" s="42"/>
      <c r="C132" s="44" t="s">
        <v>14</v>
      </c>
      <c r="D132" s="9" t="n">
        <v>33.4</v>
      </c>
      <c r="E132" s="9" t="n">
        <v>32.4</v>
      </c>
      <c r="F132" s="9" t="n">
        <v>31.1</v>
      </c>
      <c r="G132" s="9" t="n">
        <v>42.7</v>
      </c>
      <c r="H132" s="9" t="n">
        <v>45.5</v>
      </c>
      <c r="I132" s="9" t="n">
        <v>90.9</v>
      </c>
      <c r="J132" s="9" t="n">
        <v>55.1</v>
      </c>
      <c r="K132" s="10" t="n">
        <f aca="false">SUM(D132:J132)</f>
        <v>331.1</v>
      </c>
    </row>
    <row r="133" customFormat="false" ht="15" hidden="false" customHeight="false" outlineLevel="0" collapsed="false">
      <c r="A133" s="42"/>
      <c r="B133" s="42"/>
      <c r="C133" s="11" t="s">
        <v>41</v>
      </c>
      <c r="D133" s="14" t="n">
        <f aca="false">IFERROR((D132-D131)/D131,0)</f>
        <v>0.0774193548387096</v>
      </c>
      <c r="E133" s="14" t="n">
        <f aca="false">IFERROR((E132-E131)/E131,0)</f>
        <v>-0.124324324324324</v>
      </c>
      <c r="F133" s="14" t="n">
        <f aca="false">IFERROR((F132-F131)/F131,0)</f>
        <v>0.0366666666666667</v>
      </c>
      <c r="G133" s="14" t="n">
        <f aca="false">IFERROR((G132-G131)/G131,0)</f>
        <v>0.708</v>
      </c>
      <c r="H133" s="14" t="n">
        <f aca="false">IFERROR((H132-H131)/H131,0)</f>
        <v>0.378787878787879</v>
      </c>
      <c r="I133" s="14" t="n">
        <f aca="false">IFERROR((I132-I131)/I131,0)</f>
        <v>-0.173636363636364</v>
      </c>
      <c r="J133" s="14" t="n">
        <f aca="false">IFERROR((J132-J131)/J131,0)</f>
        <v>0.039622641509434</v>
      </c>
      <c r="K133" s="15" t="n">
        <f aca="false">IFERROR((SUM(D132:J132)-SUM(D131:J131))/SUM(D131:J131),0)</f>
        <v>0.0379310344827587</v>
      </c>
    </row>
    <row r="134" customFormat="false" ht="15" hidden="false" customHeight="true" outlineLevel="0" collapsed="false">
      <c r="A134" s="42" t="s">
        <v>98</v>
      </c>
      <c r="B134" s="43" t="s">
        <v>68</v>
      </c>
      <c r="C134" s="5" t="s">
        <v>26</v>
      </c>
      <c r="D134" s="6" t="n">
        <v>29</v>
      </c>
      <c r="E134" s="6" t="n">
        <v>31</v>
      </c>
      <c r="F134" s="6" t="n">
        <v>42</v>
      </c>
      <c r="G134" s="6" t="n">
        <v>33</v>
      </c>
      <c r="H134" s="6" t="n">
        <v>37</v>
      </c>
      <c r="I134" s="6" t="n">
        <v>111</v>
      </c>
      <c r="J134" s="6" t="n">
        <v>35</v>
      </c>
      <c r="K134" s="7" t="n">
        <f aca="false">SUM(D134:J134)</f>
        <v>318</v>
      </c>
    </row>
    <row r="135" customFormat="false" ht="15" hidden="false" customHeight="false" outlineLevel="0" collapsed="false">
      <c r="A135" s="42"/>
      <c r="B135" s="42"/>
      <c r="C135" s="44" t="s">
        <v>14</v>
      </c>
      <c r="D135" s="9" t="n">
        <v>33.2</v>
      </c>
      <c r="E135" s="9" t="n">
        <v>30.2</v>
      </c>
      <c r="F135" s="9" t="n">
        <v>34.5</v>
      </c>
      <c r="G135" s="9" t="n">
        <v>51.8</v>
      </c>
      <c r="H135" s="9" t="n">
        <v>49.3</v>
      </c>
      <c r="I135" s="9" t="n">
        <v>93.2</v>
      </c>
      <c r="J135" s="9" t="n">
        <v>38.9</v>
      </c>
      <c r="K135" s="10" t="n">
        <f aca="false">SUM(D135:J135)</f>
        <v>331.1</v>
      </c>
    </row>
    <row r="136" customFormat="false" ht="15" hidden="false" customHeight="false" outlineLevel="0" collapsed="false">
      <c r="A136" s="42"/>
      <c r="B136" s="42"/>
      <c r="C136" s="11" t="s">
        <v>41</v>
      </c>
      <c r="D136" s="14" t="n">
        <f aca="false">IFERROR((D135-D134)/D134,0)</f>
        <v>0.144827586206897</v>
      </c>
      <c r="E136" s="14" t="n">
        <f aca="false">IFERROR((E135-E134)/E134,0)</f>
        <v>-0.0258064516129033</v>
      </c>
      <c r="F136" s="14" t="n">
        <f aca="false">IFERROR((F135-F134)/F134,0)</f>
        <v>-0.178571428571429</v>
      </c>
      <c r="G136" s="14" t="n">
        <f aca="false">IFERROR((G135-G134)/G134,0)</f>
        <v>0.56969696969697</v>
      </c>
      <c r="H136" s="14" t="n">
        <f aca="false">IFERROR((H135-H134)/H134,0)</f>
        <v>0.332432432432432</v>
      </c>
      <c r="I136" s="14" t="n">
        <f aca="false">IFERROR((I135-I134)/I134,0)</f>
        <v>-0.16036036036036</v>
      </c>
      <c r="J136" s="14" t="n">
        <f aca="false">IFERROR((J135-J134)/J134,0)</f>
        <v>0.111428571428571</v>
      </c>
      <c r="K136" s="15" t="n">
        <f aca="false">IFERROR((SUM(D135:J135)-SUM(D134:J134))/SUM(D134:J134),0)</f>
        <v>0.041194968553459</v>
      </c>
    </row>
    <row r="137" customFormat="false" ht="15" hidden="false" customHeight="true" outlineLevel="0" collapsed="false">
      <c r="A137" s="42" t="s">
        <v>99</v>
      </c>
      <c r="B137" s="43" t="s">
        <v>49</v>
      </c>
      <c r="C137" s="5" t="s">
        <v>26</v>
      </c>
      <c r="D137" s="6" t="n">
        <v>30</v>
      </c>
      <c r="E137" s="6" t="n">
        <v>24</v>
      </c>
      <c r="F137" s="6" t="n">
        <v>13</v>
      </c>
      <c r="G137" s="6" t="n">
        <v>51</v>
      </c>
      <c r="H137" s="6" t="n">
        <v>48</v>
      </c>
      <c r="I137" s="6" t="n">
        <v>93</v>
      </c>
      <c r="J137" s="6" t="n">
        <v>45</v>
      </c>
      <c r="K137" s="7" t="n">
        <f aca="false">SUM(D137:J137)</f>
        <v>304</v>
      </c>
    </row>
    <row r="138" customFormat="false" ht="15" hidden="false" customHeight="false" outlineLevel="0" collapsed="false">
      <c r="A138" s="42"/>
      <c r="B138" s="42"/>
      <c r="C138" s="44" t="s">
        <v>14</v>
      </c>
      <c r="D138" s="9" t="n">
        <v>36.5</v>
      </c>
      <c r="E138" s="9" t="n">
        <v>29.6</v>
      </c>
      <c r="F138" s="9" t="n">
        <v>34.5</v>
      </c>
      <c r="G138" s="9" t="n">
        <v>46.4</v>
      </c>
      <c r="H138" s="9" t="n">
        <v>55.2</v>
      </c>
      <c r="I138" s="9" t="n">
        <v>122.4</v>
      </c>
      <c r="J138" s="9" t="n">
        <v>64.4</v>
      </c>
      <c r="K138" s="10" t="n">
        <f aca="false">SUM(D138:J138)</f>
        <v>389</v>
      </c>
    </row>
    <row r="139" customFormat="false" ht="15" hidden="false" customHeight="false" outlineLevel="0" collapsed="false">
      <c r="A139" s="42"/>
      <c r="B139" s="42"/>
      <c r="C139" s="11" t="s">
        <v>41</v>
      </c>
      <c r="D139" s="14" t="n">
        <f aca="false">IFERROR((D138-D137)/D137,0)</f>
        <v>0.216666666666667</v>
      </c>
      <c r="E139" s="14" t="n">
        <f aca="false">IFERROR((E138-E137)/E137,0)</f>
        <v>0.233333333333333</v>
      </c>
      <c r="F139" s="14" t="n">
        <f aca="false">IFERROR((F138-F137)/F137,0)</f>
        <v>1.65384615384615</v>
      </c>
      <c r="G139" s="14" t="n">
        <f aca="false">IFERROR((G138-G137)/G137,0)</f>
        <v>-0.0901960784313726</v>
      </c>
      <c r="H139" s="14" t="n">
        <f aca="false">IFERROR((H138-H137)/H137,0)</f>
        <v>0.15</v>
      </c>
      <c r="I139" s="14" t="n">
        <f aca="false">IFERROR((I138-I137)/I137,0)</f>
        <v>0.316129032258065</v>
      </c>
      <c r="J139" s="14" t="n">
        <f aca="false">IFERROR((J138-J137)/J137,0)</f>
        <v>0.431111111111111</v>
      </c>
      <c r="K139" s="15" t="n">
        <f aca="false">IFERROR((SUM(D138:J138)-SUM(D137:J137))/SUM(D137:J137),0)</f>
        <v>0.279605263157895</v>
      </c>
    </row>
    <row r="140" customFormat="false" ht="15" hidden="false" customHeight="true" outlineLevel="0" collapsed="false">
      <c r="A140" s="42" t="s">
        <v>100</v>
      </c>
      <c r="B140" s="43" t="s">
        <v>74</v>
      </c>
      <c r="C140" s="5" t="s">
        <v>26</v>
      </c>
      <c r="D140" s="6" t="n">
        <v>27</v>
      </c>
      <c r="E140" s="6" t="n">
        <v>23</v>
      </c>
      <c r="F140" s="6" t="n">
        <v>36</v>
      </c>
      <c r="G140" s="6" t="n">
        <v>30</v>
      </c>
      <c r="H140" s="6" t="n">
        <v>44</v>
      </c>
      <c r="I140" s="6" t="n">
        <v>87</v>
      </c>
      <c r="J140" s="6" t="n">
        <v>44</v>
      </c>
      <c r="K140" s="7" t="n">
        <f aca="false">SUM(D140:J140)</f>
        <v>291</v>
      </c>
    </row>
    <row r="141" customFormat="false" ht="15" hidden="false" customHeight="false" outlineLevel="0" collapsed="false">
      <c r="A141" s="42"/>
      <c r="B141" s="42"/>
      <c r="C141" s="44" t="s">
        <v>14</v>
      </c>
      <c r="D141" s="9" t="n">
        <v>22.3</v>
      </c>
      <c r="E141" s="9" t="n">
        <v>29.2</v>
      </c>
      <c r="F141" s="9" t="n">
        <v>33.1</v>
      </c>
      <c r="G141" s="9" t="n">
        <v>42.3</v>
      </c>
      <c r="H141" s="9" t="n">
        <v>41</v>
      </c>
      <c r="I141" s="9" t="n">
        <v>89.1</v>
      </c>
      <c r="J141" s="9" t="n">
        <v>33.6</v>
      </c>
      <c r="K141" s="10" t="n">
        <f aca="false">SUM(D141:J141)</f>
        <v>290.6</v>
      </c>
    </row>
    <row r="142" customFormat="false" ht="15" hidden="false" customHeight="false" outlineLevel="0" collapsed="false">
      <c r="A142" s="42"/>
      <c r="B142" s="42"/>
      <c r="C142" s="11" t="s">
        <v>41</v>
      </c>
      <c r="D142" s="14" t="n">
        <f aca="false">IFERROR((D141-D140)/D140,0)</f>
        <v>-0.174074074074074</v>
      </c>
      <c r="E142" s="14" t="n">
        <f aca="false">IFERROR((E141-E140)/E140,0)</f>
        <v>0.269565217391304</v>
      </c>
      <c r="F142" s="14" t="n">
        <f aca="false">IFERROR((F141-F140)/F140,0)</f>
        <v>-0.0805555555555555</v>
      </c>
      <c r="G142" s="14" t="n">
        <f aca="false">IFERROR((G141-G140)/G140,0)</f>
        <v>0.41</v>
      </c>
      <c r="H142" s="14" t="n">
        <f aca="false">IFERROR((H141-H140)/H140,0)</f>
        <v>-0.0681818181818182</v>
      </c>
      <c r="I142" s="14" t="n">
        <f aca="false">IFERROR((I141-I140)/I140,0)</f>
        <v>0.0241379310344827</v>
      </c>
      <c r="J142" s="14" t="n">
        <f aca="false">IFERROR((J141-J140)/J140,0)</f>
        <v>-0.236363636363636</v>
      </c>
      <c r="K142" s="15" t="n">
        <f aca="false">IFERROR((SUM(D141:J141)-SUM(D140:J140))/SUM(D140:J140),0)</f>
        <v>-0.00137457044673532</v>
      </c>
    </row>
    <row r="143" customFormat="false" ht="15" hidden="false" customHeight="true" outlineLevel="0" collapsed="false">
      <c r="A143" s="42" t="s">
        <v>101</v>
      </c>
      <c r="B143" s="43" t="s">
        <v>83</v>
      </c>
      <c r="C143" s="5" t="s">
        <v>26</v>
      </c>
      <c r="D143" s="6" t="n">
        <v>36</v>
      </c>
      <c r="E143" s="6" t="n">
        <v>33</v>
      </c>
      <c r="F143" s="6" t="n">
        <v>29</v>
      </c>
      <c r="G143" s="6" t="n">
        <v>24</v>
      </c>
      <c r="H143" s="6" t="n">
        <v>29</v>
      </c>
      <c r="I143" s="6" t="n">
        <v>92</v>
      </c>
      <c r="J143" s="6" t="n">
        <v>45</v>
      </c>
      <c r="K143" s="7" t="n">
        <f aca="false">SUM(D143:J143)</f>
        <v>288</v>
      </c>
    </row>
    <row r="144" customFormat="false" ht="15" hidden="false" customHeight="false" outlineLevel="0" collapsed="false">
      <c r="A144" s="42"/>
      <c r="B144" s="42"/>
      <c r="C144" s="44" t="s">
        <v>14</v>
      </c>
      <c r="D144" s="9" t="n">
        <v>29.2</v>
      </c>
      <c r="E144" s="9" t="n">
        <v>31</v>
      </c>
      <c r="F144" s="9" t="n">
        <v>28.5</v>
      </c>
      <c r="G144" s="9" t="n">
        <v>38.7</v>
      </c>
      <c r="H144" s="9" t="n">
        <v>41.2</v>
      </c>
      <c r="I144" s="9" t="n">
        <v>75.5</v>
      </c>
      <c r="J144" s="9" t="n">
        <v>45.9</v>
      </c>
      <c r="K144" s="10" t="n">
        <f aca="false">SUM(D144:J144)</f>
        <v>290</v>
      </c>
    </row>
    <row r="145" customFormat="false" ht="15" hidden="false" customHeight="false" outlineLevel="0" collapsed="false">
      <c r="A145" s="42"/>
      <c r="B145" s="42"/>
      <c r="C145" s="11" t="s">
        <v>41</v>
      </c>
      <c r="D145" s="14" t="n">
        <f aca="false">IFERROR((D144-D143)/D143,0)</f>
        <v>-0.188888888888889</v>
      </c>
      <c r="E145" s="14" t="n">
        <f aca="false">IFERROR((E144-E143)/E143,0)</f>
        <v>-0.0606060606060606</v>
      </c>
      <c r="F145" s="14" t="n">
        <f aca="false">IFERROR((F144-F143)/F143,0)</f>
        <v>-0.0172413793103448</v>
      </c>
      <c r="G145" s="14" t="n">
        <f aca="false">IFERROR((G144-G143)/G143,0)</f>
        <v>0.6125</v>
      </c>
      <c r="H145" s="14" t="n">
        <f aca="false">IFERROR((H144-H143)/H143,0)</f>
        <v>0.420689655172414</v>
      </c>
      <c r="I145" s="14" t="n">
        <f aca="false">IFERROR((I144-I143)/I143,0)</f>
        <v>-0.179347826086957</v>
      </c>
      <c r="J145" s="14" t="n">
        <f aca="false">IFERROR((J144-J143)/J143,0)</f>
        <v>0.02</v>
      </c>
      <c r="K145" s="15" t="n">
        <f aca="false">IFERROR((SUM(D144:J144)-SUM(D143:J143))/SUM(D143:J143),0)</f>
        <v>0.00694444444444444</v>
      </c>
    </row>
    <row r="146" customFormat="false" ht="15" hidden="false" customHeight="true" outlineLevel="0" collapsed="false">
      <c r="A146" s="42" t="s">
        <v>102</v>
      </c>
      <c r="B146" s="43" t="s">
        <v>60</v>
      </c>
      <c r="C146" s="5" t="s">
        <v>26</v>
      </c>
      <c r="D146" s="6" t="n">
        <v>46</v>
      </c>
      <c r="E146" s="6" t="n">
        <v>42</v>
      </c>
      <c r="F146" s="6" t="n">
        <v>35</v>
      </c>
      <c r="G146" s="6" t="n">
        <v>35</v>
      </c>
      <c r="H146" s="6" t="n">
        <v>29</v>
      </c>
      <c r="I146" s="6" t="n">
        <v>43</v>
      </c>
      <c r="J146" s="6" t="n">
        <v>45</v>
      </c>
      <c r="K146" s="7" t="n">
        <f aca="false">SUM(D146:J146)</f>
        <v>275</v>
      </c>
    </row>
    <row r="147" customFormat="false" ht="15" hidden="false" customHeight="false" outlineLevel="0" collapsed="false">
      <c r="A147" s="42"/>
      <c r="B147" s="42"/>
      <c r="C147" s="44" t="s">
        <v>14</v>
      </c>
      <c r="D147" s="9" t="n">
        <v>59.1</v>
      </c>
      <c r="E147" s="9" t="n">
        <v>55.9</v>
      </c>
      <c r="F147" s="9" t="n">
        <v>55.3</v>
      </c>
      <c r="G147" s="9" t="n">
        <v>57.3</v>
      </c>
      <c r="H147" s="9" t="n">
        <v>55.9</v>
      </c>
      <c r="I147" s="9" t="n">
        <v>75.4</v>
      </c>
      <c r="J147" s="9" t="n">
        <v>58.8</v>
      </c>
      <c r="K147" s="10" t="n">
        <f aca="false">SUM(D147:J147)</f>
        <v>417.7</v>
      </c>
    </row>
    <row r="148" customFormat="false" ht="15" hidden="false" customHeight="false" outlineLevel="0" collapsed="false">
      <c r="A148" s="42"/>
      <c r="B148" s="42"/>
      <c r="C148" s="11" t="s">
        <v>41</v>
      </c>
      <c r="D148" s="14" t="n">
        <f aca="false">IFERROR((D147-D146)/D146,0)</f>
        <v>0.284782608695652</v>
      </c>
      <c r="E148" s="14" t="n">
        <f aca="false">IFERROR((E147-E146)/E146,0)</f>
        <v>0.330952380952381</v>
      </c>
      <c r="F148" s="14" t="n">
        <f aca="false">IFERROR((F147-F146)/F146,0)</f>
        <v>0.58</v>
      </c>
      <c r="G148" s="14" t="n">
        <f aca="false">IFERROR((G147-G146)/G146,0)</f>
        <v>0.637142857142857</v>
      </c>
      <c r="H148" s="14" t="n">
        <f aca="false">IFERROR((H147-H146)/H146,0)</f>
        <v>0.927586206896552</v>
      </c>
      <c r="I148" s="14" t="n">
        <f aca="false">IFERROR((I147-I146)/I146,0)</f>
        <v>0.753488372093023</v>
      </c>
      <c r="J148" s="14" t="n">
        <f aca="false">IFERROR((J147-J146)/J146,0)</f>
        <v>0.306666666666667</v>
      </c>
      <c r="K148" s="15" t="n">
        <f aca="false">IFERROR((SUM(D147:J147)-SUM(D146:J146))/SUM(D146:J146),0)</f>
        <v>0.518909090909091</v>
      </c>
    </row>
    <row r="149" customFormat="false" ht="15" hidden="false" customHeight="true" outlineLevel="0" collapsed="false">
      <c r="A149" s="42" t="s">
        <v>103</v>
      </c>
      <c r="B149" s="43" t="s">
        <v>60</v>
      </c>
      <c r="C149" s="5" t="s">
        <v>26</v>
      </c>
      <c r="D149" s="6" t="n">
        <v>35</v>
      </c>
      <c r="E149" s="6" t="n">
        <v>29</v>
      </c>
      <c r="F149" s="6" t="n">
        <v>26</v>
      </c>
      <c r="G149" s="6" t="n">
        <v>37</v>
      </c>
      <c r="H149" s="6" t="n">
        <v>38</v>
      </c>
      <c r="I149" s="6" t="n">
        <v>73</v>
      </c>
      <c r="J149" s="6" t="n">
        <v>35</v>
      </c>
      <c r="K149" s="7" t="n">
        <f aca="false">SUM(D149:J149)</f>
        <v>273</v>
      </c>
    </row>
    <row r="150" customFormat="false" ht="15" hidden="false" customHeight="false" outlineLevel="0" collapsed="false">
      <c r="A150" s="42"/>
      <c r="B150" s="42"/>
      <c r="C150" s="44" t="s">
        <v>14</v>
      </c>
      <c r="D150" s="9" t="n">
        <v>26.6</v>
      </c>
      <c r="E150" s="9" t="n">
        <v>33</v>
      </c>
      <c r="F150" s="9" t="n">
        <v>32</v>
      </c>
      <c r="G150" s="9" t="n">
        <v>41.8</v>
      </c>
      <c r="H150" s="9" t="n">
        <v>41.4</v>
      </c>
      <c r="I150" s="9" t="n">
        <v>83</v>
      </c>
      <c r="J150" s="9" t="n">
        <v>42.2</v>
      </c>
      <c r="K150" s="10" t="n">
        <f aca="false">SUM(D150:J150)</f>
        <v>300</v>
      </c>
    </row>
    <row r="151" customFormat="false" ht="15" hidden="false" customHeight="false" outlineLevel="0" collapsed="false">
      <c r="A151" s="42"/>
      <c r="B151" s="42"/>
      <c r="C151" s="11" t="s">
        <v>41</v>
      </c>
      <c r="D151" s="14" t="n">
        <f aca="false">IFERROR((D150-D149)/D149,0)</f>
        <v>-0.24</v>
      </c>
      <c r="E151" s="14" t="n">
        <f aca="false">IFERROR((E150-E149)/E149,0)</f>
        <v>0.137931034482759</v>
      </c>
      <c r="F151" s="14" t="n">
        <f aca="false">IFERROR((F150-F149)/F149,0)</f>
        <v>0.230769230769231</v>
      </c>
      <c r="G151" s="14" t="n">
        <f aca="false">IFERROR((G150-G149)/G149,0)</f>
        <v>0.12972972972973</v>
      </c>
      <c r="H151" s="14" t="n">
        <f aca="false">IFERROR((H150-H149)/H149,0)</f>
        <v>0.0894736842105263</v>
      </c>
      <c r="I151" s="14" t="n">
        <f aca="false">IFERROR((I150-I149)/I149,0)</f>
        <v>0.136986301369863</v>
      </c>
      <c r="J151" s="14" t="n">
        <f aca="false">IFERROR((J150-J149)/J149,0)</f>
        <v>0.205714285714286</v>
      </c>
      <c r="K151" s="15" t="n">
        <f aca="false">IFERROR((SUM(D150:J150)-SUM(D149:J149))/SUM(D149:J149),0)</f>
        <v>0.0989010989010989</v>
      </c>
    </row>
    <row r="152" customFormat="false" ht="15" hidden="false" customHeight="true" outlineLevel="0" collapsed="false">
      <c r="A152" s="42" t="s">
        <v>104</v>
      </c>
      <c r="B152" s="43" t="s">
        <v>68</v>
      </c>
      <c r="C152" s="5" t="s">
        <v>26</v>
      </c>
      <c r="D152" s="6" t="n">
        <v>20</v>
      </c>
      <c r="E152" s="6" t="n">
        <v>31</v>
      </c>
      <c r="F152" s="6" t="n">
        <v>33</v>
      </c>
      <c r="G152" s="6" t="n">
        <v>36</v>
      </c>
      <c r="H152" s="6" t="n">
        <v>37</v>
      </c>
      <c r="I152" s="6" t="n">
        <v>80</v>
      </c>
      <c r="J152" s="6" t="n">
        <v>29</v>
      </c>
      <c r="K152" s="7" t="n">
        <f aca="false">SUM(D152:J152)</f>
        <v>266</v>
      </c>
    </row>
    <row r="153" customFormat="false" ht="15" hidden="false" customHeight="false" outlineLevel="0" collapsed="false">
      <c r="A153" s="42"/>
      <c r="B153" s="42"/>
      <c r="C153" s="44" t="s">
        <v>14</v>
      </c>
      <c r="D153" s="9" t="n">
        <v>14.9</v>
      </c>
      <c r="E153" s="9" t="n">
        <v>20.2</v>
      </c>
      <c r="F153" s="9" t="n">
        <v>27.7</v>
      </c>
      <c r="G153" s="9" t="n">
        <v>37</v>
      </c>
      <c r="H153" s="9" t="n">
        <v>39.1</v>
      </c>
      <c r="I153" s="9" t="n">
        <v>59.9</v>
      </c>
      <c r="J153" s="9" t="n">
        <v>27.4</v>
      </c>
      <c r="K153" s="10" t="n">
        <f aca="false">SUM(D153:J153)</f>
        <v>226.2</v>
      </c>
    </row>
    <row r="154" customFormat="false" ht="15" hidden="false" customHeight="false" outlineLevel="0" collapsed="false">
      <c r="A154" s="42"/>
      <c r="B154" s="42"/>
      <c r="C154" s="11" t="s">
        <v>41</v>
      </c>
      <c r="D154" s="14" t="n">
        <f aca="false">IFERROR((D153-D152)/D152,0)</f>
        <v>-0.255</v>
      </c>
      <c r="E154" s="14" t="n">
        <f aca="false">IFERROR((E153-E152)/E152,0)</f>
        <v>-0.348387096774194</v>
      </c>
      <c r="F154" s="14" t="n">
        <f aca="false">IFERROR((F153-F152)/F152,0)</f>
        <v>-0.160606060606061</v>
      </c>
      <c r="G154" s="14" t="n">
        <f aca="false">IFERROR((G153-G152)/G152,0)</f>
        <v>0.0277777777777778</v>
      </c>
      <c r="H154" s="14" t="n">
        <f aca="false">IFERROR((H153-H152)/H152,0)</f>
        <v>0.0567567567567568</v>
      </c>
      <c r="I154" s="14" t="n">
        <f aca="false">IFERROR((I153-I152)/I152,0)</f>
        <v>-0.25125</v>
      </c>
      <c r="J154" s="14" t="n">
        <f aca="false">IFERROR((J153-J152)/J152,0)</f>
        <v>-0.0551724137931035</v>
      </c>
      <c r="K154" s="15" t="n">
        <f aca="false">IFERROR((SUM(D153:J153)-SUM(D152:J152))/SUM(D152:J152),0)</f>
        <v>-0.149624060150376</v>
      </c>
    </row>
    <row r="155" customFormat="false" ht="15" hidden="false" customHeight="true" outlineLevel="0" collapsed="false">
      <c r="A155" s="42" t="s">
        <v>105</v>
      </c>
      <c r="B155" s="43" t="s">
        <v>52</v>
      </c>
      <c r="C155" s="5" t="s">
        <v>26</v>
      </c>
      <c r="D155" s="6" t="n">
        <v>20</v>
      </c>
      <c r="E155" s="6" t="n">
        <v>31</v>
      </c>
      <c r="F155" s="6" t="n">
        <v>21</v>
      </c>
      <c r="G155" s="6" t="n">
        <v>32</v>
      </c>
      <c r="H155" s="6" t="n">
        <v>36</v>
      </c>
      <c r="I155" s="6" t="n">
        <v>91</v>
      </c>
      <c r="J155" s="6" t="n">
        <v>30</v>
      </c>
      <c r="K155" s="7" t="n">
        <f aca="false">SUM(D155:J155)</f>
        <v>261</v>
      </c>
    </row>
    <row r="156" customFormat="false" ht="15" hidden="false" customHeight="false" outlineLevel="0" collapsed="false">
      <c r="A156" s="42"/>
      <c r="B156" s="42"/>
      <c r="C156" s="44" t="s">
        <v>14</v>
      </c>
      <c r="D156" s="9" t="n">
        <v>29.3</v>
      </c>
      <c r="E156" s="9" t="n">
        <v>26.6</v>
      </c>
      <c r="F156" s="9" t="n">
        <v>32.6</v>
      </c>
      <c r="G156" s="9" t="n">
        <v>39.1</v>
      </c>
      <c r="H156" s="9" t="n">
        <v>45</v>
      </c>
      <c r="I156" s="9" t="n">
        <v>91.1</v>
      </c>
      <c r="J156" s="9" t="n">
        <v>38.9</v>
      </c>
      <c r="K156" s="10" t="n">
        <f aca="false">SUM(D156:J156)</f>
        <v>302.6</v>
      </c>
    </row>
    <row r="157" customFormat="false" ht="15" hidden="false" customHeight="false" outlineLevel="0" collapsed="false">
      <c r="A157" s="42"/>
      <c r="B157" s="42"/>
      <c r="C157" s="11" t="s">
        <v>41</v>
      </c>
      <c r="D157" s="14" t="n">
        <f aca="false">IFERROR((D156-D155)/D155,0)</f>
        <v>0.465</v>
      </c>
      <c r="E157" s="14" t="n">
        <f aca="false">IFERROR((E156-E155)/E155,0)</f>
        <v>-0.141935483870968</v>
      </c>
      <c r="F157" s="14" t="n">
        <f aca="false">IFERROR((F156-F155)/F155,0)</f>
        <v>0.552380952380952</v>
      </c>
      <c r="G157" s="14" t="n">
        <f aca="false">IFERROR((G156-G155)/G155,0)</f>
        <v>0.221875</v>
      </c>
      <c r="H157" s="14" t="n">
        <f aca="false">IFERROR((H156-H155)/H155,0)</f>
        <v>0.25</v>
      </c>
      <c r="I157" s="14" t="n">
        <f aca="false">IFERROR((I156-I155)/I155,0)</f>
        <v>0.00109890109890104</v>
      </c>
      <c r="J157" s="14" t="n">
        <f aca="false">IFERROR((J156-J155)/J155,0)</f>
        <v>0.296666666666667</v>
      </c>
      <c r="K157" s="15" t="n">
        <f aca="false">IFERROR((SUM(D156:J156)-SUM(D155:J155))/SUM(D155:J155),0)</f>
        <v>0.159386973180077</v>
      </c>
    </row>
    <row r="158" customFormat="false" ht="15" hidden="false" customHeight="true" outlineLevel="0" collapsed="false">
      <c r="A158" s="42" t="s">
        <v>106</v>
      </c>
      <c r="B158" s="43" t="s">
        <v>49</v>
      </c>
      <c r="C158" s="5" t="s">
        <v>26</v>
      </c>
      <c r="D158" s="6" t="n">
        <v>12</v>
      </c>
      <c r="E158" s="6" t="n">
        <v>20</v>
      </c>
      <c r="F158" s="6" t="n">
        <v>16</v>
      </c>
      <c r="G158" s="6" t="n">
        <v>23</v>
      </c>
      <c r="H158" s="6" t="n">
        <v>52</v>
      </c>
      <c r="I158" s="6" t="n">
        <v>79</v>
      </c>
      <c r="J158" s="6" t="n">
        <v>46</v>
      </c>
      <c r="K158" s="7" t="n">
        <f aca="false">SUM(D158:J158)</f>
        <v>248</v>
      </c>
    </row>
    <row r="159" customFormat="false" ht="15" hidden="false" customHeight="false" outlineLevel="0" collapsed="false">
      <c r="A159" s="42"/>
      <c r="B159" s="42"/>
      <c r="C159" s="44" t="s">
        <v>14</v>
      </c>
      <c r="D159" s="9" t="n">
        <v>26.7</v>
      </c>
      <c r="E159" s="9" t="n">
        <v>26.6</v>
      </c>
      <c r="F159" s="9" t="n">
        <v>23.9</v>
      </c>
      <c r="G159" s="9" t="n">
        <v>33.7</v>
      </c>
      <c r="H159" s="9" t="n">
        <v>48.2</v>
      </c>
      <c r="I159" s="9" t="n">
        <v>97.5</v>
      </c>
      <c r="J159" s="9" t="n">
        <v>70.4</v>
      </c>
      <c r="K159" s="10" t="n">
        <f aca="false">SUM(D159:J159)</f>
        <v>327</v>
      </c>
    </row>
    <row r="160" customFormat="false" ht="15" hidden="false" customHeight="false" outlineLevel="0" collapsed="false">
      <c r="A160" s="42"/>
      <c r="B160" s="42"/>
      <c r="C160" s="11" t="s">
        <v>41</v>
      </c>
      <c r="D160" s="14" t="n">
        <f aca="false">IFERROR((D159-D158)/D158,0)</f>
        <v>1.225</v>
      </c>
      <c r="E160" s="14" t="n">
        <f aca="false">IFERROR((E159-E158)/E158,0)</f>
        <v>0.33</v>
      </c>
      <c r="F160" s="14" t="n">
        <f aca="false">IFERROR((F159-F158)/F158,0)</f>
        <v>0.49375</v>
      </c>
      <c r="G160" s="14" t="n">
        <f aca="false">IFERROR((G159-G158)/G158,0)</f>
        <v>0.465217391304348</v>
      </c>
      <c r="H160" s="14" t="n">
        <f aca="false">IFERROR((H159-H158)/H158,0)</f>
        <v>-0.073076923076923</v>
      </c>
      <c r="I160" s="14" t="n">
        <f aca="false">IFERROR((I159-I158)/I158,0)</f>
        <v>0.234177215189873</v>
      </c>
      <c r="J160" s="14" t="n">
        <f aca="false">IFERROR((J159-J158)/J158,0)</f>
        <v>0.530434782608696</v>
      </c>
      <c r="K160" s="15" t="n">
        <f aca="false">IFERROR((SUM(D159:J159)-SUM(D158:J158))/SUM(D158:J158),0)</f>
        <v>0.318548387096774</v>
      </c>
    </row>
    <row r="161" customFormat="false" ht="15" hidden="false" customHeight="true" outlineLevel="0" collapsed="false">
      <c r="A161" s="42" t="s">
        <v>107</v>
      </c>
      <c r="B161" s="43" t="s">
        <v>74</v>
      </c>
      <c r="C161" s="5" t="s">
        <v>26</v>
      </c>
      <c r="D161" s="6" t="n">
        <v>43</v>
      </c>
      <c r="E161" s="6" t="n">
        <v>33</v>
      </c>
      <c r="F161" s="6" t="n">
        <v>17</v>
      </c>
      <c r="G161" s="6" t="n">
        <v>25</v>
      </c>
      <c r="H161" s="6" t="n">
        <v>22</v>
      </c>
      <c r="I161" s="6" t="n">
        <v>71</v>
      </c>
      <c r="J161" s="6" t="n">
        <v>27</v>
      </c>
      <c r="K161" s="7" t="n">
        <f aca="false">SUM(D161:J161)</f>
        <v>238</v>
      </c>
    </row>
    <row r="162" customFormat="false" ht="15" hidden="false" customHeight="false" outlineLevel="0" collapsed="false">
      <c r="A162" s="42"/>
      <c r="B162" s="42"/>
      <c r="C162" s="44" t="s">
        <v>14</v>
      </c>
      <c r="D162" s="9" t="n">
        <v>29.7</v>
      </c>
      <c r="E162" s="9" t="n">
        <v>32</v>
      </c>
      <c r="F162" s="9" t="n">
        <v>32.5</v>
      </c>
      <c r="G162" s="9" t="n">
        <v>33.4</v>
      </c>
      <c r="H162" s="9" t="n">
        <v>38.4</v>
      </c>
      <c r="I162" s="9" t="n">
        <v>66.4</v>
      </c>
      <c r="J162" s="9" t="n">
        <v>27.3</v>
      </c>
      <c r="K162" s="10" t="n">
        <f aca="false">SUM(D162:J162)</f>
        <v>259.7</v>
      </c>
    </row>
    <row r="163" customFormat="false" ht="15" hidden="false" customHeight="false" outlineLevel="0" collapsed="false">
      <c r="A163" s="42"/>
      <c r="B163" s="42"/>
      <c r="C163" s="11" t="s">
        <v>41</v>
      </c>
      <c r="D163" s="14" t="n">
        <f aca="false">IFERROR((D162-D161)/D161,0)</f>
        <v>-0.309302325581395</v>
      </c>
      <c r="E163" s="14" t="n">
        <f aca="false">IFERROR((E162-E161)/E161,0)</f>
        <v>-0.0303030303030303</v>
      </c>
      <c r="F163" s="14" t="n">
        <f aca="false">IFERROR((F162-F161)/F161,0)</f>
        <v>0.911764705882353</v>
      </c>
      <c r="G163" s="14" t="n">
        <f aca="false">IFERROR((G162-G161)/G161,0)</f>
        <v>0.336</v>
      </c>
      <c r="H163" s="14" t="n">
        <f aca="false">IFERROR((H162-H161)/H161,0)</f>
        <v>0.745454545454545</v>
      </c>
      <c r="I163" s="14" t="n">
        <f aca="false">IFERROR((I162-I161)/I161,0)</f>
        <v>-0.0647887323943661</v>
      </c>
      <c r="J163" s="14" t="n">
        <f aca="false">IFERROR((J162-J161)/J161,0)</f>
        <v>0.0111111111111111</v>
      </c>
      <c r="K163" s="15" t="n">
        <f aca="false">IFERROR((SUM(D162:J162)-SUM(D161:J161))/SUM(D161:J161),0)</f>
        <v>0.0911764705882353</v>
      </c>
    </row>
    <row r="164" customFormat="false" ht="15" hidden="false" customHeight="true" outlineLevel="0" collapsed="false">
      <c r="A164" s="42" t="s">
        <v>108</v>
      </c>
      <c r="B164" s="43" t="s">
        <v>109</v>
      </c>
      <c r="C164" s="5" t="s">
        <v>26</v>
      </c>
      <c r="D164" s="6" t="n">
        <v>39</v>
      </c>
      <c r="E164" s="6" t="n">
        <v>18</v>
      </c>
      <c r="F164" s="6" t="n">
        <v>29</v>
      </c>
      <c r="G164" s="6" t="n">
        <v>22</v>
      </c>
      <c r="H164" s="6" t="n">
        <v>22</v>
      </c>
      <c r="I164" s="6" t="n">
        <v>82</v>
      </c>
      <c r="J164" s="6" t="n">
        <v>20</v>
      </c>
      <c r="K164" s="7" t="n">
        <f aca="false">SUM(D164:J164)</f>
        <v>232</v>
      </c>
    </row>
    <row r="165" customFormat="false" ht="15" hidden="false" customHeight="false" outlineLevel="0" collapsed="false">
      <c r="A165" s="42"/>
      <c r="B165" s="42"/>
      <c r="C165" s="44" t="s">
        <v>14</v>
      </c>
      <c r="D165" s="9" t="n">
        <v>21.4</v>
      </c>
      <c r="E165" s="9" t="n">
        <v>35.3</v>
      </c>
      <c r="F165" s="9" t="n">
        <v>27.3</v>
      </c>
      <c r="G165" s="9" t="n">
        <v>27.2</v>
      </c>
      <c r="H165" s="9" t="n">
        <v>31</v>
      </c>
      <c r="I165" s="9" t="n">
        <v>59</v>
      </c>
      <c r="J165" s="9" t="n">
        <v>22.7</v>
      </c>
      <c r="K165" s="10" t="n">
        <f aca="false">SUM(D165:J165)</f>
        <v>223.9</v>
      </c>
    </row>
    <row r="166" customFormat="false" ht="15" hidden="false" customHeight="false" outlineLevel="0" collapsed="false">
      <c r="A166" s="42"/>
      <c r="B166" s="42"/>
      <c r="C166" s="11" t="s">
        <v>41</v>
      </c>
      <c r="D166" s="14" t="n">
        <f aca="false">IFERROR((D165-D164)/D164,0)</f>
        <v>-0.451282051282051</v>
      </c>
      <c r="E166" s="14" t="n">
        <f aca="false">IFERROR((E165-E164)/E164,0)</f>
        <v>0.961111111111111</v>
      </c>
      <c r="F166" s="14" t="n">
        <f aca="false">IFERROR((F165-F164)/F164,0)</f>
        <v>-0.0586206896551724</v>
      </c>
      <c r="G166" s="14" t="n">
        <f aca="false">IFERROR((G165-G164)/G164,0)</f>
        <v>0.236363636363636</v>
      </c>
      <c r="H166" s="14" t="n">
        <f aca="false">IFERROR((H165-H164)/H164,0)</f>
        <v>0.409090909090909</v>
      </c>
      <c r="I166" s="14" t="n">
        <f aca="false">IFERROR((I165-I164)/I164,0)</f>
        <v>-0.280487804878049</v>
      </c>
      <c r="J166" s="14" t="n">
        <f aca="false">IFERROR((J165-J164)/J164,0)</f>
        <v>0.135</v>
      </c>
      <c r="K166" s="15" t="n">
        <f aca="false">IFERROR((SUM(D165:J165)-SUM(D164:J164))/SUM(D164:J164),0)</f>
        <v>-0.0349137931034484</v>
      </c>
    </row>
    <row r="167" customFormat="false" ht="15" hidden="false" customHeight="true" outlineLevel="0" collapsed="false">
      <c r="A167" s="42" t="s">
        <v>110</v>
      </c>
      <c r="B167" s="43" t="s">
        <v>111</v>
      </c>
      <c r="C167" s="5" t="s">
        <v>26</v>
      </c>
      <c r="D167" s="6" t="n">
        <v>23</v>
      </c>
      <c r="E167" s="6" t="n">
        <v>32</v>
      </c>
      <c r="F167" s="6" t="n">
        <v>25</v>
      </c>
      <c r="G167" s="6" t="n">
        <v>29</v>
      </c>
      <c r="H167" s="6" t="n">
        <v>33</v>
      </c>
      <c r="I167" s="6" t="n">
        <v>67</v>
      </c>
      <c r="J167" s="6" t="n">
        <v>23</v>
      </c>
      <c r="K167" s="7" t="n">
        <f aca="false">SUM(D167:J167)</f>
        <v>232</v>
      </c>
    </row>
    <row r="168" customFormat="false" ht="15" hidden="false" customHeight="false" outlineLevel="0" collapsed="false">
      <c r="A168" s="42"/>
      <c r="B168" s="42"/>
      <c r="C168" s="44" t="s">
        <v>14</v>
      </c>
      <c r="D168" s="9" t="n">
        <v>17.4</v>
      </c>
      <c r="E168" s="9" t="n">
        <v>26.1</v>
      </c>
      <c r="F168" s="9" t="n">
        <v>33.3</v>
      </c>
      <c r="G168" s="9" t="n">
        <v>37</v>
      </c>
      <c r="H168" s="9" t="n">
        <v>35.8</v>
      </c>
      <c r="I168" s="9" t="n">
        <v>60.6</v>
      </c>
      <c r="J168" s="9" t="n">
        <v>38</v>
      </c>
      <c r="K168" s="10" t="n">
        <f aca="false">SUM(D168:J168)</f>
        <v>248.2</v>
      </c>
    </row>
    <row r="169" customFormat="false" ht="15" hidden="false" customHeight="false" outlineLevel="0" collapsed="false">
      <c r="A169" s="42"/>
      <c r="B169" s="42"/>
      <c r="C169" s="11" t="s">
        <v>41</v>
      </c>
      <c r="D169" s="14" t="n">
        <f aca="false">IFERROR((D168-D167)/D167,0)</f>
        <v>-0.243478260869565</v>
      </c>
      <c r="E169" s="14" t="n">
        <f aca="false">IFERROR((E168-E167)/E167,0)</f>
        <v>-0.184375</v>
      </c>
      <c r="F169" s="14" t="n">
        <f aca="false">IFERROR((F168-F167)/F167,0)</f>
        <v>0.332</v>
      </c>
      <c r="G169" s="14" t="n">
        <f aca="false">IFERROR((G168-G167)/G167,0)</f>
        <v>0.275862068965517</v>
      </c>
      <c r="H169" s="14" t="n">
        <f aca="false">IFERROR((H168-H167)/H167,0)</f>
        <v>0.0848484848484848</v>
      </c>
      <c r="I169" s="14" t="n">
        <f aca="false">IFERROR((I168-I167)/I167,0)</f>
        <v>-0.0955223880597015</v>
      </c>
      <c r="J169" s="14" t="n">
        <f aca="false">IFERROR((J168-J167)/J167,0)</f>
        <v>0.652173913043478</v>
      </c>
      <c r="K169" s="15" t="n">
        <f aca="false">IFERROR((SUM(D168:J168)-SUM(D167:J167))/SUM(D167:J167),0)</f>
        <v>0.0698275862068965</v>
      </c>
    </row>
    <row r="170" customFormat="false" ht="15" hidden="false" customHeight="true" outlineLevel="0" collapsed="false">
      <c r="A170" s="42" t="s">
        <v>112</v>
      </c>
      <c r="B170" s="43" t="s">
        <v>113</v>
      </c>
      <c r="C170" s="5" t="s">
        <v>26</v>
      </c>
      <c r="D170" s="6" t="n">
        <v>22</v>
      </c>
      <c r="E170" s="6" t="n">
        <v>24</v>
      </c>
      <c r="F170" s="6" t="n">
        <v>18</v>
      </c>
      <c r="G170" s="6" t="n">
        <v>20</v>
      </c>
      <c r="H170" s="6" t="n">
        <v>36</v>
      </c>
      <c r="I170" s="6" t="n">
        <v>77</v>
      </c>
      <c r="J170" s="6" t="n">
        <v>26</v>
      </c>
      <c r="K170" s="7" t="n">
        <f aca="false">SUM(D170:J170)</f>
        <v>223</v>
      </c>
    </row>
    <row r="171" customFormat="false" ht="15" hidden="false" customHeight="false" outlineLevel="0" collapsed="false">
      <c r="A171" s="42"/>
      <c r="B171" s="42"/>
      <c r="C171" s="44" t="s">
        <v>14</v>
      </c>
      <c r="D171" s="9" t="n">
        <v>24.1</v>
      </c>
      <c r="E171" s="9" t="n">
        <v>29.3</v>
      </c>
      <c r="F171" s="9" t="n">
        <v>34.9</v>
      </c>
      <c r="G171" s="9" t="n">
        <v>34.8</v>
      </c>
      <c r="H171" s="9" t="n">
        <v>34.9</v>
      </c>
      <c r="I171" s="9" t="n">
        <v>69.4</v>
      </c>
      <c r="J171" s="9" t="n">
        <v>33</v>
      </c>
      <c r="K171" s="10" t="n">
        <f aca="false">SUM(D171:J171)</f>
        <v>260.4</v>
      </c>
    </row>
    <row r="172" customFormat="false" ht="15" hidden="false" customHeight="false" outlineLevel="0" collapsed="false">
      <c r="A172" s="42"/>
      <c r="B172" s="42"/>
      <c r="C172" s="11" t="s">
        <v>41</v>
      </c>
      <c r="D172" s="14" t="n">
        <f aca="false">IFERROR((D171-D170)/D170,0)</f>
        <v>0.0954545454545455</v>
      </c>
      <c r="E172" s="14" t="n">
        <f aca="false">IFERROR((E171-E170)/E170,0)</f>
        <v>0.220833333333333</v>
      </c>
      <c r="F172" s="14" t="n">
        <f aca="false">IFERROR((F171-F170)/F170,0)</f>
        <v>0.938888888888889</v>
      </c>
      <c r="G172" s="14" t="n">
        <f aca="false">IFERROR((G171-G170)/G170,0)</f>
        <v>0.74</v>
      </c>
      <c r="H172" s="14" t="n">
        <f aca="false">IFERROR((H171-H170)/H170,0)</f>
        <v>-0.0305555555555556</v>
      </c>
      <c r="I172" s="14" t="n">
        <f aca="false">IFERROR((I171-I170)/I170,0)</f>
        <v>-0.0987012987012986</v>
      </c>
      <c r="J172" s="14" t="n">
        <f aca="false">IFERROR((J171-J170)/J170,0)</f>
        <v>0.269230769230769</v>
      </c>
      <c r="K172" s="15" t="n">
        <f aca="false">IFERROR((SUM(D171:J171)-SUM(D170:J170))/SUM(D170:J170),0)</f>
        <v>0.167713004484305</v>
      </c>
    </row>
    <row r="173" customFormat="false" ht="15" hidden="false" customHeight="true" outlineLevel="0" collapsed="false">
      <c r="A173" s="42" t="s">
        <v>114</v>
      </c>
      <c r="B173" s="43" t="s">
        <v>68</v>
      </c>
      <c r="C173" s="5" t="s">
        <v>26</v>
      </c>
      <c r="D173" s="6" t="n">
        <v>25</v>
      </c>
      <c r="E173" s="6" t="n">
        <v>18</v>
      </c>
      <c r="F173" s="6" t="n">
        <v>21</v>
      </c>
      <c r="G173" s="6" t="n">
        <v>14</v>
      </c>
      <c r="H173" s="6" t="n">
        <v>31</v>
      </c>
      <c r="I173" s="6" t="n">
        <v>72</v>
      </c>
      <c r="J173" s="6" t="n">
        <v>34</v>
      </c>
      <c r="K173" s="7" t="n">
        <f aca="false">SUM(D173:J173)</f>
        <v>215</v>
      </c>
    </row>
    <row r="174" customFormat="false" ht="15" hidden="false" customHeight="false" outlineLevel="0" collapsed="false">
      <c r="A174" s="42"/>
      <c r="B174" s="42"/>
      <c r="C174" s="44" t="s">
        <v>14</v>
      </c>
      <c r="D174" s="9" t="n">
        <v>20.4</v>
      </c>
      <c r="E174" s="9" t="n">
        <v>21.6</v>
      </c>
      <c r="F174" s="9" t="n">
        <v>22.3</v>
      </c>
      <c r="G174" s="9" t="n">
        <v>32.2</v>
      </c>
      <c r="H174" s="9" t="n">
        <v>33.5</v>
      </c>
      <c r="I174" s="9" t="n">
        <v>73.8</v>
      </c>
      <c r="J174" s="9" t="n">
        <v>42.3</v>
      </c>
      <c r="K174" s="10" t="n">
        <f aca="false">SUM(D174:J174)</f>
        <v>246.1</v>
      </c>
    </row>
    <row r="175" customFormat="false" ht="15" hidden="false" customHeight="false" outlineLevel="0" collapsed="false">
      <c r="A175" s="42"/>
      <c r="B175" s="42"/>
      <c r="C175" s="11" t="s">
        <v>41</v>
      </c>
      <c r="D175" s="14" t="n">
        <f aca="false">IFERROR((D174-D173)/D173,0)</f>
        <v>-0.184</v>
      </c>
      <c r="E175" s="14" t="n">
        <f aca="false">IFERROR((E174-E173)/E173,0)</f>
        <v>0.2</v>
      </c>
      <c r="F175" s="14" t="n">
        <f aca="false">IFERROR((F174-F173)/F173,0)</f>
        <v>0.0619047619047619</v>
      </c>
      <c r="G175" s="14" t="n">
        <f aca="false">IFERROR((G174-G173)/G173,0)</f>
        <v>1.3</v>
      </c>
      <c r="H175" s="14" t="n">
        <f aca="false">IFERROR((H174-H173)/H173,0)</f>
        <v>0.0806451612903226</v>
      </c>
      <c r="I175" s="14" t="n">
        <f aca="false">IFERROR((I174-I173)/I173,0)</f>
        <v>0.025</v>
      </c>
      <c r="J175" s="14" t="n">
        <f aca="false">IFERROR((J174-J173)/J173,0)</f>
        <v>0.244117647058823</v>
      </c>
      <c r="K175" s="15" t="n">
        <f aca="false">IFERROR((SUM(D174:J174)-SUM(D173:J173))/SUM(D173:J173),0)</f>
        <v>0.144651162790698</v>
      </c>
    </row>
    <row r="176" customFormat="false" ht="15" hidden="false" customHeight="true" outlineLevel="0" collapsed="false">
      <c r="A176" s="42" t="s">
        <v>115</v>
      </c>
      <c r="B176" s="43" t="s">
        <v>68</v>
      </c>
      <c r="C176" s="5" t="s">
        <v>26</v>
      </c>
      <c r="D176" s="6" t="n">
        <v>21</v>
      </c>
      <c r="E176" s="6" t="n">
        <v>14</v>
      </c>
      <c r="F176" s="6" t="n">
        <v>21</v>
      </c>
      <c r="G176" s="6" t="n">
        <v>21</v>
      </c>
      <c r="H176" s="6" t="n">
        <v>29</v>
      </c>
      <c r="I176" s="6" t="n">
        <v>84</v>
      </c>
      <c r="J176" s="6" t="n">
        <v>22</v>
      </c>
      <c r="K176" s="7" t="n">
        <f aca="false">SUM(D176:J176)</f>
        <v>212</v>
      </c>
    </row>
    <row r="177" customFormat="false" ht="15" hidden="false" customHeight="false" outlineLevel="0" collapsed="false">
      <c r="A177" s="42"/>
      <c r="B177" s="42"/>
      <c r="C177" s="44" t="s">
        <v>14</v>
      </c>
      <c r="D177" s="9" t="n">
        <v>21.7</v>
      </c>
      <c r="E177" s="9" t="n">
        <v>22.4</v>
      </c>
      <c r="F177" s="9" t="n">
        <v>21.1</v>
      </c>
      <c r="G177" s="9" t="n">
        <v>33.5</v>
      </c>
      <c r="H177" s="9" t="n">
        <v>34.3</v>
      </c>
      <c r="I177" s="9" t="n">
        <v>69.9</v>
      </c>
      <c r="J177" s="9" t="n">
        <v>26.9</v>
      </c>
      <c r="K177" s="10" t="n">
        <f aca="false">SUM(D177:J177)</f>
        <v>229.8</v>
      </c>
    </row>
    <row r="178" customFormat="false" ht="15" hidden="false" customHeight="false" outlineLevel="0" collapsed="false">
      <c r="A178" s="42"/>
      <c r="B178" s="42"/>
      <c r="C178" s="11" t="s">
        <v>41</v>
      </c>
      <c r="D178" s="14" t="n">
        <f aca="false">IFERROR((D177-D176)/D176,0)</f>
        <v>0.0333333333333333</v>
      </c>
      <c r="E178" s="14" t="n">
        <f aca="false">IFERROR((E177-E176)/E176,0)</f>
        <v>0.6</v>
      </c>
      <c r="F178" s="14" t="n">
        <f aca="false">IFERROR((F177-F176)/F176,0)</f>
        <v>0.00476190476190483</v>
      </c>
      <c r="G178" s="14" t="n">
        <f aca="false">IFERROR((G177-G176)/G176,0)</f>
        <v>0.595238095238095</v>
      </c>
      <c r="H178" s="14" t="n">
        <f aca="false">IFERROR((H177-H176)/H176,0)</f>
        <v>0.182758620689655</v>
      </c>
      <c r="I178" s="14" t="n">
        <f aca="false">IFERROR((I177-I176)/I176,0)</f>
        <v>-0.167857142857143</v>
      </c>
      <c r="J178" s="14" t="n">
        <f aca="false">IFERROR((J177-J176)/J176,0)</f>
        <v>0.222727272727273</v>
      </c>
      <c r="K178" s="15" t="n">
        <f aca="false">IFERROR((SUM(D177:J177)-SUM(D176:J176))/SUM(D176:J176),0)</f>
        <v>0.0839622641509435</v>
      </c>
    </row>
    <row r="179" customFormat="false" ht="15" hidden="false" customHeight="true" outlineLevel="0" collapsed="false">
      <c r="A179" s="42" t="s">
        <v>116</v>
      </c>
      <c r="B179" s="43" t="s">
        <v>68</v>
      </c>
      <c r="C179" s="5" t="s">
        <v>26</v>
      </c>
      <c r="D179" s="6" t="n">
        <v>25</v>
      </c>
      <c r="E179" s="6" t="n">
        <v>17</v>
      </c>
      <c r="F179" s="6" t="n">
        <v>18</v>
      </c>
      <c r="G179" s="6" t="n">
        <v>18</v>
      </c>
      <c r="H179" s="6" t="n">
        <v>18</v>
      </c>
      <c r="I179" s="6" t="n">
        <v>83</v>
      </c>
      <c r="J179" s="6" t="n">
        <v>31</v>
      </c>
      <c r="K179" s="7" t="n">
        <f aca="false">SUM(D179:J179)</f>
        <v>210</v>
      </c>
    </row>
    <row r="180" customFormat="false" ht="15" hidden="false" customHeight="false" outlineLevel="0" collapsed="false">
      <c r="A180" s="42"/>
      <c r="B180" s="42"/>
      <c r="C180" s="44" t="s">
        <v>14</v>
      </c>
      <c r="D180" s="9" t="n">
        <v>20.6</v>
      </c>
      <c r="E180" s="9" t="n">
        <v>20.9</v>
      </c>
      <c r="F180" s="9" t="n">
        <v>22.3</v>
      </c>
      <c r="G180" s="9" t="n">
        <v>20.9</v>
      </c>
      <c r="H180" s="9" t="n">
        <v>25.1</v>
      </c>
      <c r="I180" s="9" t="n">
        <v>56.7</v>
      </c>
      <c r="J180" s="9" t="n">
        <v>43.2</v>
      </c>
      <c r="K180" s="10" t="n">
        <f aca="false">SUM(D180:J180)</f>
        <v>209.7</v>
      </c>
    </row>
    <row r="181" customFormat="false" ht="15" hidden="false" customHeight="false" outlineLevel="0" collapsed="false">
      <c r="A181" s="42"/>
      <c r="B181" s="42"/>
      <c r="C181" s="11" t="s">
        <v>41</v>
      </c>
      <c r="D181" s="14" t="n">
        <f aca="false">IFERROR((D180-D179)/D179,0)</f>
        <v>-0.176</v>
      </c>
      <c r="E181" s="14" t="n">
        <f aca="false">IFERROR((E180-E179)/E179,0)</f>
        <v>0.229411764705882</v>
      </c>
      <c r="F181" s="14" t="n">
        <f aca="false">IFERROR((F180-F179)/F179,0)</f>
        <v>0.238888888888889</v>
      </c>
      <c r="G181" s="14" t="n">
        <f aca="false">IFERROR((G180-G179)/G179,0)</f>
        <v>0.161111111111111</v>
      </c>
      <c r="H181" s="14" t="n">
        <f aca="false">IFERROR((H180-H179)/H179,0)</f>
        <v>0.394444444444445</v>
      </c>
      <c r="I181" s="14" t="n">
        <f aca="false">IFERROR((I180-I179)/I179,0)</f>
        <v>-0.316867469879518</v>
      </c>
      <c r="J181" s="14" t="n">
        <f aca="false">IFERROR((J180-J179)/J179,0)</f>
        <v>0.393548387096774</v>
      </c>
      <c r="K181" s="15" t="n">
        <f aca="false">IFERROR((SUM(D180:J180)-SUM(D179:J179))/SUM(D179:J179),0)</f>
        <v>-0.00142857142857148</v>
      </c>
    </row>
    <row r="182" customFormat="false" ht="15" hidden="false" customHeight="true" outlineLevel="0" collapsed="false">
      <c r="A182" s="42" t="s">
        <v>117</v>
      </c>
      <c r="B182" s="43" t="s">
        <v>118</v>
      </c>
      <c r="C182" s="5" t="s">
        <v>26</v>
      </c>
      <c r="D182" s="6" t="n">
        <v>10</v>
      </c>
      <c r="E182" s="6" t="n">
        <v>16</v>
      </c>
      <c r="F182" s="6" t="n">
        <v>14</v>
      </c>
      <c r="G182" s="6" t="n">
        <v>15</v>
      </c>
      <c r="H182" s="6" t="n">
        <v>16</v>
      </c>
      <c r="I182" s="6" t="n">
        <v>34</v>
      </c>
      <c r="J182" s="6" t="n">
        <v>13</v>
      </c>
      <c r="K182" s="7" t="n">
        <f aca="false">SUM(D182:J182)</f>
        <v>118</v>
      </c>
    </row>
    <row r="183" customFormat="false" ht="15" hidden="false" customHeight="false" outlineLevel="0" collapsed="false">
      <c r="A183" s="42"/>
      <c r="B183" s="42"/>
      <c r="C183" s="44" t="s">
        <v>14</v>
      </c>
      <c r="D183" s="9" t="n">
        <v>10.9</v>
      </c>
      <c r="E183" s="9" t="n">
        <v>16.5</v>
      </c>
      <c r="F183" s="9" t="n">
        <v>17.3</v>
      </c>
      <c r="G183" s="9" t="n">
        <v>15.9</v>
      </c>
      <c r="H183" s="9" t="n">
        <v>18.6</v>
      </c>
      <c r="I183" s="9" t="n">
        <v>37.6</v>
      </c>
      <c r="J183" s="9" t="n">
        <v>20.4</v>
      </c>
      <c r="K183" s="10" t="n">
        <f aca="false">SUM(D183:J183)</f>
        <v>137.2</v>
      </c>
    </row>
    <row r="184" customFormat="false" ht="15" hidden="false" customHeight="false" outlineLevel="0" collapsed="false">
      <c r="A184" s="42"/>
      <c r="B184" s="42"/>
      <c r="C184" s="11" t="s">
        <v>41</v>
      </c>
      <c r="D184" s="14" t="n">
        <f aca="false">IFERROR((D183-D182)/D182,0)</f>
        <v>0.09</v>
      </c>
      <c r="E184" s="14" t="n">
        <f aca="false">IFERROR((E183-E182)/E182,0)</f>
        <v>0.03125</v>
      </c>
      <c r="F184" s="14" t="n">
        <f aca="false">IFERROR((F183-F182)/F182,0)</f>
        <v>0.235714285714286</v>
      </c>
      <c r="G184" s="14" t="n">
        <f aca="false">IFERROR((G183-G182)/G182,0)</f>
        <v>0.06</v>
      </c>
      <c r="H184" s="14" t="n">
        <f aca="false">IFERROR((H183-H182)/H182,0)</f>
        <v>0.1625</v>
      </c>
      <c r="I184" s="14" t="n">
        <f aca="false">IFERROR((I183-I182)/I182,0)</f>
        <v>0.105882352941177</v>
      </c>
      <c r="J184" s="14" t="n">
        <f aca="false">IFERROR((J183-J182)/J182,0)</f>
        <v>0.569230769230769</v>
      </c>
      <c r="K184" s="15" t="n">
        <f aca="false">IFERROR((SUM(D183:J183)-SUM(D182:J182))/SUM(D182:J182),0)</f>
        <v>0.16271186440678</v>
      </c>
    </row>
    <row r="185" customFormat="false" ht="15" hidden="false" customHeight="true" outlineLevel="0" collapsed="false">
      <c r="A185" s="42" t="s">
        <v>119</v>
      </c>
      <c r="B185" s="43" t="s">
        <v>47</v>
      </c>
      <c r="C185" s="5" t="s">
        <v>26</v>
      </c>
      <c r="D185" s="6" t="n">
        <v>7</v>
      </c>
      <c r="E185" s="6" t="n">
        <v>23</v>
      </c>
      <c r="F185" s="6" t="n">
        <v>12</v>
      </c>
      <c r="G185" s="6" t="n">
        <v>15</v>
      </c>
      <c r="H185" s="6" t="n">
        <v>16</v>
      </c>
      <c r="I185" s="6" t="n">
        <v>27</v>
      </c>
      <c r="J185" s="6" t="n">
        <v>13</v>
      </c>
      <c r="K185" s="7" t="n">
        <f aca="false">SUM(D185:J185)</f>
        <v>113</v>
      </c>
    </row>
    <row r="186" customFormat="false" ht="15" hidden="false" customHeight="false" outlineLevel="0" collapsed="false">
      <c r="A186" s="42"/>
      <c r="B186" s="42"/>
      <c r="C186" s="44" t="s">
        <v>14</v>
      </c>
      <c r="D186" s="9" t="n">
        <v>9.6</v>
      </c>
      <c r="E186" s="9" t="n">
        <v>13.1</v>
      </c>
      <c r="F186" s="9" t="n">
        <v>17.1</v>
      </c>
      <c r="G186" s="9" t="n">
        <v>14</v>
      </c>
      <c r="H186" s="9" t="n">
        <v>17.9</v>
      </c>
      <c r="I186" s="9" t="n">
        <v>39.9</v>
      </c>
      <c r="J186" s="9" t="n">
        <v>19.2</v>
      </c>
      <c r="K186" s="10" t="n">
        <f aca="false">SUM(D186:J186)</f>
        <v>130.8</v>
      </c>
    </row>
    <row r="187" customFormat="false" ht="15" hidden="false" customHeight="false" outlineLevel="0" collapsed="false">
      <c r="A187" s="42"/>
      <c r="B187" s="42"/>
      <c r="C187" s="11" t="s">
        <v>41</v>
      </c>
      <c r="D187" s="14" t="n">
        <f aca="false">IFERROR((D186-D185)/D185,0)</f>
        <v>0.371428571428571</v>
      </c>
      <c r="E187" s="14" t="n">
        <f aca="false">IFERROR((E186-E185)/E185,0)</f>
        <v>-0.430434782608696</v>
      </c>
      <c r="F187" s="14" t="n">
        <f aca="false">IFERROR((F186-F185)/F185,0)</f>
        <v>0.425</v>
      </c>
      <c r="G187" s="14" t="n">
        <f aca="false">IFERROR((G186-G185)/G185,0)</f>
        <v>-0.0666666666666667</v>
      </c>
      <c r="H187" s="14" t="n">
        <f aca="false">IFERROR((H186-H185)/H185,0)</f>
        <v>0.11875</v>
      </c>
      <c r="I187" s="14" t="n">
        <f aca="false">IFERROR((I186-I185)/I185,0)</f>
        <v>0.477777777777778</v>
      </c>
      <c r="J187" s="14" t="n">
        <f aca="false">IFERROR((J186-J185)/J185,0)</f>
        <v>0.476923076923077</v>
      </c>
      <c r="K187" s="15" t="n">
        <f aca="false">IFERROR((SUM(D186:J186)-SUM(D185:J185))/SUM(D185:J185),0)</f>
        <v>0.157522123893805</v>
      </c>
    </row>
    <row r="188" customFormat="false" ht="15" hidden="false" customHeight="true" outlineLevel="0" collapsed="false">
      <c r="A188" s="42" t="s">
        <v>120</v>
      </c>
      <c r="B188" s="43" t="s">
        <v>68</v>
      </c>
      <c r="C188" s="5" t="s">
        <v>26</v>
      </c>
      <c r="D188" s="6" t="n">
        <v>15</v>
      </c>
      <c r="E188" s="6" t="n">
        <v>12</v>
      </c>
      <c r="F188" s="6" t="n">
        <v>14</v>
      </c>
      <c r="G188" s="6" t="n">
        <v>10</v>
      </c>
      <c r="H188" s="6" t="n">
        <v>13</v>
      </c>
      <c r="I188" s="6" t="n">
        <v>30</v>
      </c>
      <c r="J188" s="6" t="n">
        <v>13</v>
      </c>
      <c r="K188" s="7" t="n">
        <f aca="false">SUM(D188:J188)</f>
        <v>107</v>
      </c>
    </row>
    <row r="189" customFormat="false" ht="15" hidden="false" customHeight="false" outlineLevel="0" collapsed="false">
      <c r="A189" s="42"/>
      <c r="B189" s="42"/>
      <c r="C189" s="44" t="s">
        <v>14</v>
      </c>
      <c r="D189" s="9" t="n">
        <v>15.1</v>
      </c>
      <c r="E189" s="9" t="n">
        <v>17.1</v>
      </c>
      <c r="F189" s="9" t="n">
        <v>19.9</v>
      </c>
      <c r="G189" s="9" t="n">
        <v>19.3</v>
      </c>
      <c r="H189" s="9" t="n">
        <v>19.4</v>
      </c>
      <c r="I189" s="9" t="n">
        <v>34.2</v>
      </c>
      <c r="J189" s="9" t="n">
        <v>21.6</v>
      </c>
      <c r="K189" s="10" t="n">
        <f aca="false">SUM(D189:J189)</f>
        <v>146.6</v>
      </c>
    </row>
    <row r="190" customFormat="false" ht="15" hidden="false" customHeight="false" outlineLevel="0" collapsed="false">
      <c r="A190" s="42"/>
      <c r="B190" s="42"/>
      <c r="C190" s="11" t="s">
        <v>41</v>
      </c>
      <c r="D190" s="14" t="n">
        <f aca="false">IFERROR((D189-D188)/D188,0)</f>
        <v>0.00666666666666664</v>
      </c>
      <c r="E190" s="14" t="n">
        <f aca="false">IFERROR((E189-E188)/E188,0)</f>
        <v>0.425</v>
      </c>
      <c r="F190" s="14" t="n">
        <f aca="false">IFERROR((F189-F188)/F188,0)</f>
        <v>0.421428571428571</v>
      </c>
      <c r="G190" s="14" t="n">
        <f aca="false">IFERROR((G189-G188)/G188,0)</f>
        <v>0.93</v>
      </c>
      <c r="H190" s="14" t="n">
        <f aca="false">IFERROR((H189-H188)/H188,0)</f>
        <v>0.492307692307692</v>
      </c>
      <c r="I190" s="14" t="n">
        <f aca="false">IFERROR((I189-I188)/I188,0)</f>
        <v>0.14</v>
      </c>
      <c r="J190" s="14" t="n">
        <f aca="false">IFERROR((J189-J188)/J188,0)</f>
        <v>0.661538461538462</v>
      </c>
      <c r="K190" s="15" t="n">
        <f aca="false">IFERROR((SUM(D189:J189)-SUM(D188:J188))/SUM(D188:J188),0)</f>
        <v>0.370093457943925</v>
      </c>
    </row>
    <row r="191" customFormat="false" ht="15" hidden="false" customHeight="true" outlineLevel="0" collapsed="false">
      <c r="A191" s="42" t="s">
        <v>121</v>
      </c>
      <c r="B191" s="43" t="s">
        <v>66</v>
      </c>
      <c r="C191" s="5" t="s">
        <v>26</v>
      </c>
      <c r="D191" s="6" t="n">
        <v>17</v>
      </c>
      <c r="E191" s="6" t="n">
        <v>10</v>
      </c>
      <c r="F191" s="6" t="n">
        <v>9</v>
      </c>
      <c r="G191" s="6" t="n">
        <v>9</v>
      </c>
      <c r="H191" s="6" t="n">
        <v>10</v>
      </c>
      <c r="I191" s="6" t="n">
        <v>36</v>
      </c>
      <c r="J191" s="6" t="n">
        <v>13</v>
      </c>
      <c r="K191" s="7" t="n">
        <f aca="false">SUM(D191:J191)</f>
        <v>104</v>
      </c>
    </row>
    <row r="192" customFormat="false" ht="15" hidden="false" customHeight="false" outlineLevel="0" collapsed="false">
      <c r="A192" s="42"/>
      <c r="B192" s="42"/>
      <c r="C192" s="44" t="s">
        <v>14</v>
      </c>
      <c r="D192" s="9" t="n">
        <v>13.5</v>
      </c>
      <c r="E192" s="9" t="n">
        <v>13.9</v>
      </c>
      <c r="F192" s="9" t="n">
        <v>18.1</v>
      </c>
      <c r="G192" s="9" t="n">
        <v>22</v>
      </c>
      <c r="H192" s="9" t="n">
        <v>19.3</v>
      </c>
      <c r="I192" s="9" t="n">
        <v>37.9</v>
      </c>
      <c r="J192" s="9" t="n">
        <v>24.8</v>
      </c>
      <c r="K192" s="10" t="n">
        <f aca="false">SUM(D192:J192)</f>
        <v>149.5</v>
      </c>
    </row>
    <row r="193" customFormat="false" ht="15" hidden="false" customHeight="false" outlineLevel="0" collapsed="false">
      <c r="A193" s="42"/>
      <c r="B193" s="42"/>
      <c r="C193" s="11" t="s">
        <v>41</v>
      </c>
      <c r="D193" s="14" t="n">
        <f aca="false">IFERROR((D192-D191)/D191,0)</f>
        <v>-0.205882352941176</v>
      </c>
      <c r="E193" s="14" t="n">
        <f aca="false">IFERROR((E192-E191)/E191,0)</f>
        <v>0.39</v>
      </c>
      <c r="F193" s="14" t="n">
        <f aca="false">IFERROR((F192-F191)/F191,0)</f>
        <v>1.01111111111111</v>
      </c>
      <c r="G193" s="14" t="n">
        <f aca="false">IFERROR((G192-G191)/G191,0)</f>
        <v>1.44444444444444</v>
      </c>
      <c r="H193" s="14" t="n">
        <f aca="false">IFERROR((H192-H191)/H191,0)</f>
        <v>0.93</v>
      </c>
      <c r="I193" s="14" t="n">
        <f aca="false">IFERROR((I192-I191)/I191,0)</f>
        <v>0.0527777777777777</v>
      </c>
      <c r="J193" s="14" t="n">
        <f aca="false">IFERROR((J192-J191)/J191,0)</f>
        <v>0.907692307692308</v>
      </c>
      <c r="K193" s="15" t="n">
        <f aca="false">IFERROR((SUM(D192:J192)-SUM(D191:J191))/SUM(D191:J191),0)</f>
        <v>0.4375</v>
      </c>
    </row>
    <row r="194" customFormat="false" ht="15" hidden="false" customHeight="true" outlineLevel="0" collapsed="false">
      <c r="A194" s="42" t="s">
        <v>122</v>
      </c>
      <c r="B194" s="43" t="s">
        <v>68</v>
      </c>
      <c r="C194" s="5" t="s">
        <v>26</v>
      </c>
      <c r="D194" s="6" t="n">
        <v>7</v>
      </c>
      <c r="E194" s="6" t="n">
        <v>5</v>
      </c>
      <c r="F194" s="6" t="n">
        <v>7</v>
      </c>
      <c r="G194" s="6" t="n">
        <v>3</v>
      </c>
      <c r="H194" s="6" t="n">
        <v>5</v>
      </c>
      <c r="I194" s="6" t="n">
        <v>6</v>
      </c>
      <c r="J194" s="6" t="n">
        <v>6</v>
      </c>
      <c r="K194" s="7" t="n">
        <f aca="false">SUM(D194:J194)</f>
        <v>39</v>
      </c>
    </row>
    <row r="195" customFormat="false" ht="15" hidden="false" customHeight="false" outlineLevel="0" collapsed="false">
      <c r="A195" s="42"/>
      <c r="B195" s="42"/>
      <c r="C195" s="44" t="s">
        <v>14</v>
      </c>
      <c r="D195" s="9" t="n">
        <v>4.3</v>
      </c>
      <c r="E195" s="9" t="n">
        <v>5.7</v>
      </c>
      <c r="F195" s="9" t="n">
        <v>6.4</v>
      </c>
      <c r="G195" s="9" t="n">
        <v>2.4</v>
      </c>
      <c r="H195" s="9" t="n">
        <v>2.8</v>
      </c>
      <c r="I195" s="9" t="n">
        <v>8</v>
      </c>
      <c r="J195" s="9" t="n">
        <v>3.6</v>
      </c>
      <c r="K195" s="10" t="n">
        <f aca="false">SUM(D195:J195)</f>
        <v>33.2</v>
      </c>
    </row>
    <row r="196" customFormat="false" ht="15" hidden="false" customHeight="false" outlineLevel="0" collapsed="false">
      <c r="A196" s="42"/>
      <c r="B196" s="42"/>
      <c r="C196" s="11" t="s">
        <v>41</v>
      </c>
      <c r="D196" s="14" t="n">
        <f aca="false">IFERROR((D195-D194)/D194,0)</f>
        <v>-0.385714285714286</v>
      </c>
      <c r="E196" s="14" t="n">
        <f aca="false">IFERROR((E195-E194)/E194,0)</f>
        <v>0.14</v>
      </c>
      <c r="F196" s="14" t="n">
        <f aca="false">IFERROR((F195-F194)/F194,0)</f>
        <v>-0.0857142857142857</v>
      </c>
      <c r="G196" s="14" t="n">
        <f aca="false">IFERROR((G195-G194)/G194,0)</f>
        <v>-0.2</v>
      </c>
      <c r="H196" s="14" t="n">
        <f aca="false">IFERROR((H195-H194)/H194,0)</f>
        <v>-0.44</v>
      </c>
      <c r="I196" s="14" t="n">
        <f aca="false">IFERROR((I195-I194)/I194,0)</f>
        <v>0.333333333333333</v>
      </c>
      <c r="J196" s="14" t="n">
        <f aca="false">IFERROR((J195-J194)/J194,0)</f>
        <v>-0.4</v>
      </c>
      <c r="K196" s="15" t="n">
        <f aca="false">IFERROR((SUM(D195:J195)-SUM(D194:J194))/SUM(D194:J194),0)</f>
        <v>-0.148717948717949</v>
      </c>
    </row>
    <row r="197" customFormat="false" ht="15" hidden="false" customHeight="true" outlineLevel="0" collapsed="false">
      <c r="A197" s="42" t="s">
        <v>123</v>
      </c>
      <c r="B197" s="43" t="s">
        <v>68</v>
      </c>
      <c r="C197" s="5" t="s">
        <v>26</v>
      </c>
      <c r="D197" s="6" t="n">
        <v>2</v>
      </c>
      <c r="E197" s="6" t="n">
        <v>5</v>
      </c>
      <c r="F197" s="6" t="n">
        <v>5</v>
      </c>
      <c r="G197" s="6" t="n">
        <v>5</v>
      </c>
      <c r="H197" s="6" t="n">
        <v>4</v>
      </c>
      <c r="I197" s="6" t="n">
        <v>9</v>
      </c>
      <c r="J197" s="6" t="n">
        <v>4</v>
      </c>
      <c r="K197" s="7" t="n">
        <f aca="false">SUM(D197:J197)</f>
        <v>34</v>
      </c>
    </row>
    <row r="198" customFormat="false" ht="15" hidden="false" customHeight="false" outlineLevel="0" collapsed="false">
      <c r="A198" s="42"/>
      <c r="B198" s="42"/>
      <c r="C198" s="44" t="s">
        <v>14</v>
      </c>
      <c r="D198" s="9" t="n">
        <v>3.3</v>
      </c>
      <c r="E198" s="9" t="n">
        <v>7.4</v>
      </c>
      <c r="F198" s="9" t="n">
        <v>6.4</v>
      </c>
      <c r="G198" s="9" t="n">
        <v>5.4</v>
      </c>
      <c r="H198" s="9" t="n">
        <v>6</v>
      </c>
      <c r="I198" s="9" t="n">
        <v>17.3</v>
      </c>
      <c r="J198" s="9" t="n">
        <v>8.7</v>
      </c>
      <c r="K198" s="10" t="n">
        <f aca="false">SUM(D198:J198)</f>
        <v>54.5</v>
      </c>
    </row>
    <row r="199" customFormat="false" ht="15" hidden="false" customHeight="false" outlineLevel="0" collapsed="false">
      <c r="A199" s="42"/>
      <c r="B199" s="42"/>
      <c r="C199" s="11" t="s">
        <v>41</v>
      </c>
      <c r="D199" s="14" t="n">
        <f aca="false">IFERROR((D198-D197)/D197,0)</f>
        <v>0.65</v>
      </c>
      <c r="E199" s="14" t="n">
        <f aca="false">IFERROR((E198-E197)/E197,0)</f>
        <v>0.48</v>
      </c>
      <c r="F199" s="14" t="n">
        <f aca="false">IFERROR((F198-F197)/F197,0)</f>
        <v>0.28</v>
      </c>
      <c r="G199" s="14" t="n">
        <f aca="false">IFERROR((G198-G197)/G197,0)</f>
        <v>0.0800000000000001</v>
      </c>
      <c r="H199" s="14" t="n">
        <f aca="false">IFERROR((H198-H197)/H197,0)</f>
        <v>0.5</v>
      </c>
      <c r="I199" s="14" t="n">
        <f aca="false">IFERROR((I198-I197)/I197,0)</f>
        <v>0.922222222222222</v>
      </c>
      <c r="J199" s="14" t="n">
        <f aca="false">IFERROR((J198-J197)/J197,0)</f>
        <v>1.175</v>
      </c>
      <c r="K199" s="15" t="n">
        <f aca="false">IFERROR((SUM(D198:J198)-SUM(D197:J197))/SUM(D197:J197),0)</f>
        <v>0.602941176470588</v>
      </c>
    </row>
    <row r="200" customFormat="false" ht="15" hidden="false" customHeight="true" outlineLevel="0" collapsed="false">
      <c r="A200" s="42" t="s">
        <v>124</v>
      </c>
      <c r="B200" s="43" t="s">
        <v>54</v>
      </c>
      <c r="C200" s="5" t="s">
        <v>26</v>
      </c>
      <c r="D200" s="6" t="n">
        <v>1</v>
      </c>
      <c r="E200" s="6" t="n">
        <v>3</v>
      </c>
      <c r="F200" s="6" t="n">
        <v>3</v>
      </c>
      <c r="G200" s="6" t="n">
        <v>4</v>
      </c>
      <c r="H200" s="6" t="n">
        <v>7</v>
      </c>
      <c r="I200" s="6" t="n">
        <v>1</v>
      </c>
      <c r="J200" s="6" t="n">
        <v>2</v>
      </c>
      <c r="K200" s="7" t="n">
        <f aca="false">SUM(D200:J200)</f>
        <v>21</v>
      </c>
    </row>
    <row r="201" customFormat="false" ht="15" hidden="false" customHeight="false" outlineLevel="0" collapsed="false">
      <c r="A201" s="42"/>
      <c r="B201" s="42"/>
      <c r="C201" s="44" t="s">
        <v>14</v>
      </c>
      <c r="D201" s="9" t="n">
        <v>2.3</v>
      </c>
      <c r="E201" s="9" t="n">
        <v>5.1</v>
      </c>
      <c r="F201" s="9" t="n">
        <v>4.5</v>
      </c>
      <c r="G201" s="9" t="n">
        <v>2.4</v>
      </c>
      <c r="H201" s="9" t="n">
        <v>6.5</v>
      </c>
      <c r="I201" s="9" t="n">
        <v>4</v>
      </c>
      <c r="J201" s="9" t="n">
        <v>4.2</v>
      </c>
      <c r="K201" s="10" t="n">
        <f aca="false">SUM(D201:J201)</f>
        <v>29</v>
      </c>
    </row>
    <row r="202" customFormat="false" ht="15" hidden="false" customHeight="false" outlineLevel="0" collapsed="false">
      <c r="A202" s="42"/>
      <c r="B202" s="42"/>
      <c r="C202" s="11" t="s">
        <v>41</v>
      </c>
      <c r="D202" s="14" t="n">
        <f aca="false">IFERROR((D201-D200)/D200,0)</f>
        <v>1.3</v>
      </c>
      <c r="E202" s="14" t="n">
        <f aca="false">IFERROR((E201-E200)/E200,0)</f>
        <v>0.7</v>
      </c>
      <c r="F202" s="14" t="n">
        <f aca="false">IFERROR((F201-F200)/F200,0)</f>
        <v>0.5</v>
      </c>
      <c r="G202" s="14" t="n">
        <f aca="false">IFERROR((G201-G200)/G200,0)</f>
        <v>-0.4</v>
      </c>
      <c r="H202" s="14" t="n">
        <f aca="false">IFERROR((H201-H200)/H200,0)</f>
        <v>-0.0714285714285714</v>
      </c>
      <c r="I202" s="14" t="n">
        <f aca="false">IFERROR((I201-I200)/I200,0)</f>
        <v>3</v>
      </c>
      <c r="J202" s="14" t="n">
        <f aca="false">IFERROR((J201-J200)/J200,0)</f>
        <v>1.1</v>
      </c>
      <c r="K202" s="15" t="n">
        <f aca="false">IFERROR((SUM(D201:J201)-SUM(D200:J200))/SUM(D200:J200),0)</f>
        <v>0.380952380952381</v>
      </c>
    </row>
    <row r="203" customFormat="false" ht="15" hidden="false" customHeight="true" outlineLevel="0" collapsed="false">
      <c r="A203" s="42" t="s">
        <v>125</v>
      </c>
      <c r="B203" s="43" t="s">
        <v>60</v>
      </c>
      <c r="C203" s="5" t="s">
        <v>26</v>
      </c>
      <c r="D203" s="6" t="n">
        <v>0</v>
      </c>
      <c r="E203" s="6" t="n">
        <v>0</v>
      </c>
      <c r="F203" s="6" t="n">
        <v>1</v>
      </c>
      <c r="G203" s="6" t="n">
        <v>2</v>
      </c>
      <c r="H203" s="6" t="n">
        <v>2</v>
      </c>
      <c r="I203" s="6" t="n">
        <v>5</v>
      </c>
      <c r="J203" s="6" t="n">
        <v>4</v>
      </c>
      <c r="K203" s="7" t="n">
        <f aca="false">SUM(D203:J203)</f>
        <v>14</v>
      </c>
    </row>
    <row r="204" customFormat="false" ht="15" hidden="false" customHeight="false" outlineLevel="0" collapsed="false">
      <c r="A204" s="42"/>
      <c r="B204" s="42"/>
      <c r="C204" s="44" t="s">
        <v>14</v>
      </c>
      <c r="D204" s="9" t="n">
        <v>0.3</v>
      </c>
      <c r="E204" s="9" t="n">
        <v>0.1</v>
      </c>
      <c r="F204" s="9" t="n">
        <v>2.3</v>
      </c>
      <c r="G204" s="9" t="n">
        <v>2.3</v>
      </c>
      <c r="H204" s="9" t="n">
        <v>2.4</v>
      </c>
      <c r="I204" s="9" t="n">
        <v>5.5</v>
      </c>
      <c r="J204" s="9" t="n">
        <v>3.1</v>
      </c>
      <c r="K204" s="10" t="n">
        <f aca="false">SUM(D204:J204)</f>
        <v>16</v>
      </c>
    </row>
    <row r="205" customFormat="false" ht="15" hidden="false" customHeight="false" outlineLevel="0" collapsed="false">
      <c r="A205" s="42"/>
      <c r="B205" s="42"/>
      <c r="C205" s="11" t="s">
        <v>41</v>
      </c>
      <c r="D205" s="14" t="n">
        <f aca="false">IFERROR((D204-D203)/D203,0)</f>
        <v>0</v>
      </c>
      <c r="E205" s="14" t="n">
        <f aca="false">IFERROR((E204-E203)/E203,0)</f>
        <v>0</v>
      </c>
      <c r="F205" s="14" t="n">
        <f aca="false">IFERROR((F204-F203)/F203,0)</f>
        <v>1.3</v>
      </c>
      <c r="G205" s="14" t="n">
        <f aca="false">IFERROR((G204-G203)/G203,0)</f>
        <v>0.15</v>
      </c>
      <c r="H205" s="14" t="n">
        <f aca="false">IFERROR((H204-H203)/H203,0)</f>
        <v>0.2</v>
      </c>
      <c r="I205" s="14" t="n">
        <f aca="false">IFERROR((I204-I203)/I203,0)</f>
        <v>0.1</v>
      </c>
      <c r="J205" s="14" t="n">
        <f aca="false">IFERROR((J204-J203)/J203,0)</f>
        <v>-0.225</v>
      </c>
      <c r="K205" s="15" t="n">
        <f aca="false">IFERROR((SUM(D204:J204)-SUM(D203:J203))/SUM(D203:J203),0)</f>
        <v>0.142857142857143</v>
      </c>
    </row>
    <row r="206" customFormat="false" ht="15" hidden="false" customHeight="true" outlineLevel="0" collapsed="false">
      <c r="A206" s="42" t="s">
        <v>126</v>
      </c>
      <c r="B206" s="43" t="s">
        <v>68</v>
      </c>
      <c r="C206" s="5" t="s">
        <v>26</v>
      </c>
      <c r="D206" s="6" t="n">
        <v>2</v>
      </c>
      <c r="E206" s="6" t="n">
        <v>2</v>
      </c>
      <c r="F206" s="6" t="n">
        <v>0</v>
      </c>
      <c r="G206" s="6" t="n">
        <v>1</v>
      </c>
      <c r="H206" s="6" t="n">
        <v>1</v>
      </c>
      <c r="I206" s="6" t="n">
        <v>4</v>
      </c>
      <c r="J206" s="6" t="n">
        <v>3</v>
      </c>
      <c r="K206" s="7" t="n">
        <f aca="false">SUM(D206:J206)</f>
        <v>13</v>
      </c>
    </row>
    <row r="207" customFormat="false" ht="15" hidden="false" customHeight="false" outlineLevel="0" collapsed="false">
      <c r="A207" s="42"/>
      <c r="B207" s="42"/>
      <c r="C207" s="44" t="s">
        <v>14</v>
      </c>
      <c r="D207" s="9" t="n">
        <v>4.1</v>
      </c>
      <c r="E207" s="9" t="n">
        <v>4.5</v>
      </c>
      <c r="F207" s="9" t="n">
        <v>0.1</v>
      </c>
      <c r="G207" s="9" t="n">
        <v>1.5</v>
      </c>
      <c r="H207" s="9" t="n">
        <v>1.3</v>
      </c>
      <c r="I207" s="9" t="n">
        <v>3.1</v>
      </c>
      <c r="J207" s="9" t="n">
        <v>3.8</v>
      </c>
      <c r="K207" s="10" t="n">
        <f aca="false">SUM(D207:J207)</f>
        <v>18.4</v>
      </c>
    </row>
    <row r="208" customFormat="false" ht="15" hidden="false" customHeight="false" outlineLevel="0" collapsed="false">
      <c r="A208" s="42"/>
      <c r="B208" s="42"/>
      <c r="C208" s="11" t="s">
        <v>41</v>
      </c>
      <c r="D208" s="14" t="n">
        <f aca="false">IFERROR((D207-D206)/D206,0)</f>
        <v>1.05</v>
      </c>
      <c r="E208" s="14" t="n">
        <f aca="false">IFERROR((E207-E206)/E206,0)</f>
        <v>1.25</v>
      </c>
      <c r="F208" s="14" t="n">
        <f aca="false">IFERROR((F207-F206)/F206,0)</f>
        <v>0</v>
      </c>
      <c r="G208" s="14" t="n">
        <f aca="false">IFERROR((G207-G206)/G206,0)</f>
        <v>0.5</v>
      </c>
      <c r="H208" s="14" t="n">
        <f aca="false">IFERROR((H207-H206)/H206,0)</f>
        <v>0.3</v>
      </c>
      <c r="I208" s="14" t="n">
        <f aca="false">IFERROR((I207-I206)/I206,0)</f>
        <v>-0.225</v>
      </c>
      <c r="J208" s="14" t="n">
        <f aca="false">IFERROR((J207-J206)/J206,0)</f>
        <v>0.266666666666667</v>
      </c>
      <c r="K208" s="15" t="n">
        <f aca="false">IFERROR((SUM(D207:J207)-SUM(D206:J206))/SUM(D206:J206),0)</f>
        <v>0.415384615384615</v>
      </c>
    </row>
    <row r="209" customFormat="false" ht="15" hidden="false" customHeight="true" outlineLevel="0" collapsed="false">
      <c r="A209" s="42" t="s">
        <v>127</v>
      </c>
      <c r="B209" s="43" t="s">
        <v>97</v>
      </c>
      <c r="C209" s="5" t="s">
        <v>26</v>
      </c>
      <c r="D209" s="6" t="n">
        <v>2</v>
      </c>
      <c r="E209" s="6" t="n">
        <v>2</v>
      </c>
      <c r="F209" s="6" t="n">
        <v>0</v>
      </c>
      <c r="G209" s="6" t="n">
        <v>1</v>
      </c>
      <c r="H209" s="6" t="n">
        <v>1</v>
      </c>
      <c r="I209" s="6" t="n">
        <v>3</v>
      </c>
      <c r="J209" s="6" t="n">
        <v>1</v>
      </c>
      <c r="K209" s="7" t="n">
        <f aca="false">SUM(D209:J209)</f>
        <v>10</v>
      </c>
    </row>
    <row r="210" customFormat="false" ht="15" hidden="false" customHeight="false" outlineLevel="0" collapsed="false">
      <c r="A210" s="42"/>
      <c r="B210" s="42"/>
      <c r="C210" s="44" t="s">
        <v>14</v>
      </c>
      <c r="D210" s="9" t="n">
        <v>2.4</v>
      </c>
      <c r="E210" s="9" t="n">
        <v>2.4</v>
      </c>
      <c r="F210" s="9" t="n">
        <v>0.3</v>
      </c>
      <c r="G210" s="9" t="n">
        <v>1.3</v>
      </c>
      <c r="H210" s="9" t="n">
        <v>1.3</v>
      </c>
      <c r="I210" s="9" t="n">
        <v>4.3</v>
      </c>
      <c r="J210" s="9" t="n">
        <v>2.5</v>
      </c>
      <c r="K210" s="10" t="n">
        <f aca="false">SUM(D210:J210)</f>
        <v>14.5</v>
      </c>
    </row>
    <row r="211" customFormat="false" ht="15" hidden="false" customHeight="false" outlineLevel="0" collapsed="false">
      <c r="A211" s="42"/>
      <c r="B211" s="42"/>
      <c r="C211" s="11" t="s">
        <v>41</v>
      </c>
      <c r="D211" s="14" t="n">
        <f aca="false">IFERROR((D210-D209)/D209,0)</f>
        <v>0.2</v>
      </c>
      <c r="E211" s="14" t="n">
        <f aca="false">IFERROR((E210-E209)/E209,0)</f>
        <v>0.2</v>
      </c>
      <c r="F211" s="14" t="n">
        <f aca="false">IFERROR((F210-F209)/F209,0)</f>
        <v>0</v>
      </c>
      <c r="G211" s="14" t="n">
        <f aca="false">IFERROR((G210-G209)/G209,0)</f>
        <v>0.3</v>
      </c>
      <c r="H211" s="14" t="n">
        <f aca="false">IFERROR((H210-H209)/H209,0)</f>
        <v>0.3</v>
      </c>
      <c r="I211" s="14" t="n">
        <f aca="false">IFERROR((I210-I209)/I209,0)</f>
        <v>0.433333333333333</v>
      </c>
      <c r="J211" s="14" t="n">
        <f aca="false">IFERROR((J210-J209)/J209,0)</f>
        <v>1.5</v>
      </c>
      <c r="K211" s="15" t="n">
        <f aca="false">IFERROR((SUM(D210:J210)-SUM(D209:J209))/SUM(D209:J209),0)</f>
        <v>0.45</v>
      </c>
    </row>
    <row r="212" customFormat="false" ht="15" hidden="false" customHeight="true" outlineLevel="0" collapsed="false">
      <c r="A212" s="42" t="s">
        <v>128</v>
      </c>
      <c r="B212" s="43" t="s">
        <v>58</v>
      </c>
      <c r="C212" s="5" t="s">
        <v>26</v>
      </c>
      <c r="D212" s="6" t="n">
        <v>2</v>
      </c>
      <c r="E212" s="6" t="n">
        <v>2</v>
      </c>
      <c r="F212" s="6" t="n">
        <v>2</v>
      </c>
      <c r="G212" s="6" t="n">
        <v>2</v>
      </c>
      <c r="H212" s="6" t="n">
        <v>0</v>
      </c>
      <c r="I212" s="6" t="n">
        <v>1</v>
      </c>
      <c r="J212" s="6" t="n">
        <v>0</v>
      </c>
      <c r="K212" s="7" t="n">
        <f aca="false">SUM(D212:J212)</f>
        <v>9</v>
      </c>
    </row>
    <row r="213" customFormat="false" ht="15" hidden="false" customHeight="false" outlineLevel="0" collapsed="false">
      <c r="A213" s="42"/>
      <c r="B213" s="42"/>
      <c r="C213" s="44" t="s">
        <v>14</v>
      </c>
      <c r="D213" s="9" t="n">
        <v>3.4</v>
      </c>
      <c r="E213" s="9" t="n">
        <v>1.6</v>
      </c>
      <c r="F213" s="9" t="n">
        <v>4.7</v>
      </c>
      <c r="G213" s="9" t="n">
        <v>1.6</v>
      </c>
      <c r="H213" s="9" t="n">
        <v>0.2</v>
      </c>
      <c r="I213" s="9" t="n">
        <v>2</v>
      </c>
      <c r="J213" s="9" t="n">
        <v>0.6</v>
      </c>
      <c r="K213" s="10" t="n">
        <f aca="false">SUM(D213:J213)</f>
        <v>14.1</v>
      </c>
    </row>
    <row r="214" customFormat="false" ht="15" hidden="false" customHeight="false" outlineLevel="0" collapsed="false">
      <c r="A214" s="42"/>
      <c r="B214" s="42"/>
      <c r="C214" s="11" t="s">
        <v>41</v>
      </c>
      <c r="D214" s="14" t="n">
        <f aca="false">IFERROR((D213-D212)/D212,0)</f>
        <v>0.7</v>
      </c>
      <c r="E214" s="14" t="n">
        <f aca="false">IFERROR((E213-E212)/E212,0)</f>
        <v>-0.2</v>
      </c>
      <c r="F214" s="14" t="n">
        <f aca="false">IFERROR((F213-F212)/F212,0)</f>
        <v>1.35</v>
      </c>
      <c r="G214" s="14" t="n">
        <f aca="false">IFERROR((G213-G212)/G212,0)</f>
        <v>-0.2</v>
      </c>
      <c r="H214" s="14" t="n">
        <f aca="false">IFERROR((H213-H212)/H212,0)</f>
        <v>0</v>
      </c>
      <c r="I214" s="14" t="n">
        <f aca="false">IFERROR((I213-I212)/I212,0)</f>
        <v>1</v>
      </c>
      <c r="J214" s="14" t="n">
        <f aca="false">IFERROR((J213-J212)/J212,0)</f>
        <v>0</v>
      </c>
      <c r="K214" s="15" t="n">
        <f aca="false">IFERROR((SUM(D213:J213)-SUM(D212:J212))/SUM(D212:J212),0)</f>
        <v>0.566666666666667</v>
      </c>
    </row>
    <row r="215" customFormat="false" ht="15" hidden="false" customHeight="true" outlineLevel="0" collapsed="false">
      <c r="A215" s="42" t="s">
        <v>129</v>
      </c>
      <c r="B215" s="43" t="s">
        <v>130</v>
      </c>
      <c r="C215" s="5" t="s">
        <v>26</v>
      </c>
      <c r="D215" s="6" t="n">
        <v>1</v>
      </c>
      <c r="E215" s="6" t="n">
        <v>0</v>
      </c>
      <c r="F215" s="6" t="n">
        <v>1</v>
      </c>
      <c r="G215" s="6" t="n">
        <v>0</v>
      </c>
      <c r="H215" s="6" t="n">
        <v>0</v>
      </c>
      <c r="I215" s="6" t="n">
        <v>0</v>
      </c>
      <c r="J215" s="6" t="n">
        <v>0</v>
      </c>
      <c r="K215" s="7" t="n">
        <f aca="false">SUM(D215:J215)</f>
        <v>2</v>
      </c>
    </row>
    <row r="216" customFormat="false" ht="15" hidden="false" customHeight="false" outlineLevel="0" collapsed="false">
      <c r="A216" s="42"/>
      <c r="B216" s="42"/>
      <c r="C216" s="44" t="s">
        <v>14</v>
      </c>
      <c r="D216" s="9" t="n">
        <v>0.5</v>
      </c>
      <c r="E216" s="9" t="n">
        <v>0.2</v>
      </c>
      <c r="F216" s="9" t="n">
        <v>0.3</v>
      </c>
      <c r="G216" s="9" t="n">
        <v>0</v>
      </c>
      <c r="H216" s="9" t="n">
        <v>0</v>
      </c>
      <c r="I216" s="9" t="n">
        <v>0.6</v>
      </c>
      <c r="J216" s="9" t="n">
        <v>1.3</v>
      </c>
      <c r="K216" s="10" t="n">
        <f aca="false">SUM(D216:J216)</f>
        <v>2.9</v>
      </c>
    </row>
    <row r="217" customFormat="false" ht="15" hidden="false" customHeight="false" outlineLevel="0" collapsed="false">
      <c r="A217" s="42"/>
      <c r="B217" s="42"/>
      <c r="C217" s="11" t="s">
        <v>41</v>
      </c>
      <c r="D217" s="14" t="n">
        <f aca="false">IFERROR((D216-D215)/D215,0)</f>
        <v>-0.5</v>
      </c>
      <c r="E217" s="14" t="n">
        <f aca="false">IFERROR((E216-E215)/E215,0)</f>
        <v>0</v>
      </c>
      <c r="F217" s="14" t="n">
        <f aca="false">IFERROR((F216-F215)/F215,0)</f>
        <v>-0.7</v>
      </c>
      <c r="G217" s="14" t="n">
        <f aca="false">IFERROR((G216-G215)/G215,0)</f>
        <v>0</v>
      </c>
      <c r="H217" s="14" t="n">
        <f aca="false">IFERROR((H216-H215)/H215,0)</f>
        <v>0</v>
      </c>
      <c r="I217" s="14" t="n">
        <f aca="false">IFERROR((I216-I215)/I215,0)</f>
        <v>0</v>
      </c>
      <c r="J217" s="14" t="n">
        <f aca="false">IFERROR((J216-J215)/J215,0)</f>
        <v>0</v>
      </c>
      <c r="K217" s="15" t="n">
        <f aca="false">IFERROR((SUM(D216:J216)-SUM(D215:J215))/SUM(D215:J215),0)</f>
        <v>0.45</v>
      </c>
    </row>
    <row r="218" customFormat="false" ht="15" hidden="false" customHeight="true" outlineLevel="0" collapsed="false">
      <c r="A218" s="42" t="s">
        <v>131</v>
      </c>
      <c r="B218" s="43" t="s">
        <v>60</v>
      </c>
      <c r="C218" s="5" t="s">
        <v>26</v>
      </c>
      <c r="D218" s="6" t="n">
        <v>0</v>
      </c>
      <c r="E218" s="6" t="n">
        <v>0</v>
      </c>
      <c r="F218" s="6" t="n">
        <v>0</v>
      </c>
      <c r="G218" s="6" t="n">
        <v>1</v>
      </c>
      <c r="H218" s="6" t="n">
        <v>1</v>
      </c>
      <c r="I218" s="6" t="n">
        <v>0</v>
      </c>
      <c r="J218" s="6" t="n">
        <v>0</v>
      </c>
      <c r="K218" s="7" t="n">
        <f aca="false">SUM(D218:J218)</f>
        <v>2</v>
      </c>
    </row>
    <row r="219" customFormat="false" ht="15" hidden="false" customHeight="false" outlineLevel="0" collapsed="false">
      <c r="A219" s="42"/>
      <c r="B219" s="42"/>
      <c r="C219" s="44" t="s">
        <v>14</v>
      </c>
      <c r="D219" s="9" t="n">
        <v>0.1</v>
      </c>
      <c r="E219" s="9" t="n">
        <v>0.1</v>
      </c>
      <c r="F219" s="9" t="n">
        <v>0.1</v>
      </c>
      <c r="G219" s="9" t="n">
        <v>0.8</v>
      </c>
      <c r="H219" s="9" t="n">
        <v>1.2</v>
      </c>
      <c r="I219" s="9" t="n">
        <v>0.3</v>
      </c>
      <c r="J219" s="9" t="n">
        <v>0.4</v>
      </c>
      <c r="K219" s="10" t="n">
        <f aca="false">SUM(D219:J219)</f>
        <v>3</v>
      </c>
    </row>
    <row r="220" customFormat="false" ht="15" hidden="false" customHeight="false" outlineLevel="0" collapsed="false">
      <c r="A220" s="42"/>
      <c r="B220" s="42"/>
      <c r="C220" s="11" t="s">
        <v>41</v>
      </c>
      <c r="D220" s="14" t="n">
        <f aca="false">IFERROR((D219-D218)/D218,0)</f>
        <v>0</v>
      </c>
      <c r="E220" s="14" t="n">
        <f aca="false">IFERROR((E219-E218)/E218,0)</f>
        <v>0</v>
      </c>
      <c r="F220" s="14" t="n">
        <f aca="false">IFERROR((F219-F218)/F218,0)</f>
        <v>0</v>
      </c>
      <c r="G220" s="14" t="n">
        <f aca="false">IFERROR((G219-G218)/G218,0)</f>
        <v>-0.2</v>
      </c>
      <c r="H220" s="14" t="n">
        <f aca="false">IFERROR((H219-H218)/H218,0)</f>
        <v>0.2</v>
      </c>
      <c r="I220" s="14" t="n">
        <f aca="false">IFERROR((I219-I218)/I218,0)</f>
        <v>0</v>
      </c>
      <c r="J220" s="14" t="n">
        <f aca="false">IFERROR((J219-J218)/J218,0)</f>
        <v>0</v>
      </c>
      <c r="K220" s="15" t="n">
        <f aca="false">IFERROR((SUM(D219:J219)-SUM(D218:J218))/SUM(D218:J218),0)</f>
        <v>0.5</v>
      </c>
    </row>
  </sheetData>
  <mergeCells count="148">
    <mergeCell ref="A1:K1"/>
    <mergeCell ref="A3:K3"/>
    <mergeCell ref="A4:B4"/>
    <mergeCell ref="A5:B5"/>
    <mergeCell ref="A6:B6"/>
    <mergeCell ref="A7:B7"/>
    <mergeCell ref="A8:B8"/>
    <mergeCell ref="A9:B9"/>
    <mergeCell ref="A10:B10"/>
    <mergeCell ref="A12:K12"/>
    <mergeCell ref="A14:A16"/>
    <mergeCell ref="B14:B16"/>
    <mergeCell ref="A17:A19"/>
    <mergeCell ref="B17:B19"/>
    <mergeCell ref="A20:A22"/>
    <mergeCell ref="B20:B22"/>
    <mergeCell ref="A23:A25"/>
    <mergeCell ref="B23:B25"/>
    <mergeCell ref="A26:A28"/>
    <mergeCell ref="B26:B28"/>
    <mergeCell ref="A29:A31"/>
    <mergeCell ref="B29:B31"/>
    <mergeCell ref="A32:A34"/>
    <mergeCell ref="B32:B34"/>
    <mergeCell ref="A35:A37"/>
    <mergeCell ref="B35:B37"/>
    <mergeCell ref="A38:A40"/>
    <mergeCell ref="B38:B40"/>
    <mergeCell ref="A41:A43"/>
    <mergeCell ref="B41:B43"/>
    <mergeCell ref="A44:A46"/>
    <mergeCell ref="B44:B46"/>
    <mergeCell ref="A47:A49"/>
    <mergeCell ref="B47:B49"/>
    <mergeCell ref="A50:A52"/>
    <mergeCell ref="B50:B52"/>
    <mergeCell ref="A53:A55"/>
    <mergeCell ref="B53:B55"/>
    <mergeCell ref="A56:A58"/>
    <mergeCell ref="B56:B58"/>
    <mergeCell ref="A59:A61"/>
    <mergeCell ref="B59:B61"/>
    <mergeCell ref="A62:A64"/>
    <mergeCell ref="B62:B64"/>
    <mergeCell ref="A65:A67"/>
    <mergeCell ref="B65:B67"/>
    <mergeCell ref="A68:A70"/>
    <mergeCell ref="B68:B70"/>
    <mergeCell ref="A71:A73"/>
    <mergeCell ref="B71:B73"/>
    <mergeCell ref="A74:A76"/>
    <mergeCell ref="B74:B76"/>
    <mergeCell ref="A77:A79"/>
    <mergeCell ref="B77:B79"/>
    <mergeCell ref="A80:A82"/>
    <mergeCell ref="B80:B82"/>
    <mergeCell ref="A83:A85"/>
    <mergeCell ref="B83:B85"/>
    <mergeCell ref="A86:A88"/>
    <mergeCell ref="B86:B88"/>
    <mergeCell ref="A89:A91"/>
    <mergeCell ref="B89:B91"/>
    <mergeCell ref="A92:A94"/>
    <mergeCell ref="B92:B94"/>
    <mergeCell ref="A95:A97"/>
    <mergeCell ref="B95:B97"/>
    <mergeCell ref="A98:A100"/>
    <mergeCell ref="B98:B100"/>
    <mergeCell ref="A101:A103"/>
    <mergeCell ref="B101:B103"/>
    <mergeCell ref="A104:A106"/>
    <mergeCell ref="B104:B106"/>
    <mergeCell ref="A107:A109"/>
    <mergeCell ref="B107:B109"/>
    <mergeCell ref="A110:A112"/>
    <mergeCell ref="B110:B112"/>
    <mergeCell ref="A113:A115"/>
    <mergeCell ref="B113:B115"/>
    <mergeCell ref="A116:A118"/>
    <mergeCell ref="B116:B118"/>
    <mergeCell ref="A119:A121"/>
    <mergeCell ref="B119:B121"/>
    <mergeCell ref="A122:A124"/>
    <mergeCell ref="B122:B124"/>
    <mergeCell ref="A125:A127"/>
    <mergeCell ref="B125:B127"/>
    <mergeCell ref="A128:A130"/>
    <mergeCell ref="B128:B130"/>
    <mergeCell ref="A131:A133"/>
    <mergeCell ref="B131:B133"/>
    <mergeCell ref="A134:A136"/>
    <mergeCell ref="B134:B136"/>
    <mergeCell ref="A137:A139"/>
    <mergeCell ref="B137:B139"/>
    <mergeCell ref="A140:A142"/>
    <mergeCell ref="B140:B142"/>
    <mergeCell ref="A143:A145"/>
    <mergeCell ref="B143:B145"/>
    <mergeCell ref="A146:A148"/>
    <mergeCell ref="B146:B148"/>
    <mergeCell ref="A149:A151"/>
    <mergeCell ref="B149:B151"/>
    <mergeCell ref="A152:A154"/>
    <mergeCell ref="B152:B154"/>
    <mergeCell ref="A155:A157"/>
    <mergeCell ref="B155:B157"/>
    <mergeCell ref="A158:A160"/>
    <mergeCell ref="B158:B160"/>
    <mergeCell ref="A161:A163"/>
    <mergeCell ref="B161:B163"/>
    <mergeCell ref="A164:A166"/>
    <mergeCell ref="B164:B166"/>
    <mergeCell ref="A167:A169"/>
    <mergeCell ref="B167:B169"/>
    <mergeCell ref="A170:A172"/>
    <mergeCell ref="B170:B172"/>
    <mergeCell ref="A173:A175"/>
    <mergeCell ref="B173:B175"/>
    <mergeCell ref="A176:A178"/>
    <mergeCell ref="B176:B178"/>
    <mergeCell ref="A179:A181"/>
    <mergeCell ref="B179:B181"/>
    <mergeCell ref="A182:A184"/>
    <mergeCell ref="B182:B184"/>
    <mergeCell ref="A185:A187"/>
    <mergeCell ref="B185:B187"/>
    <mergeCell ref="A188:A190"/>
    <mergeCell ref="B188:B190"/>
    <mergeCell ref="A191:A193"/>
    <mergeCell ref="B191:B193"/>
    <mergeCell ref="A194:A196"/>
    <mergeCell ref="B194:B196"/>
    <mergeCell ref="A197:A199"/>
    <mergeCell ref="B197:B199"/>
    <mergeCell ref="A200:A202"/>
    <mergeCell ref="B200:B202"/>
    <mergeCell ref="A203:A205"/>
    <mergeCell ref="B203:B205"/>
    <mergeCell ref="A206:A208"/>
    <mergeCell ref="B206:B208"/>
    <mergeCell ref="A209:A211"/>
    <mergeCell ref="B209:B211"/>
    <mergeCell ref="A212:A214"/>
    <mergeCell ref="B212:B214"/>
    <mergeCell ref="A215:A217"/>
    <mergeCell ref="B215:B217"/>
    <mergeCell ref="A218:A220"/>
    <mergeCell ref="B218:B2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10" min="4" style="0" width="11"/>
    <col collapsed="false" customWidth="true" hidden="false" outlineLevel="0" max="11" min="11" style="0" width="12"/>
  </cols>
  <sheetData>
    <row r="1" customFormat="false" ht="27.75" hidden="false" customHeight="true" outlineLevel="0" collapsed="false">
      <c r="A1" s="45" t="s">
        <v>132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3" customFormat="false" ht="15" hidden="false" customHeight="true" outlineLevel="0" collapsed="false">
      <c r="A3" s="38" t="s">
        <v>34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customFormat="false" ht="21.75" hidden="false" customHeight="true" outlineLevel="0" collapsed="false">
      <c r="A4" s="3" t="s">
        <v>3</v>
      </c>
      <c r="B4" s="3"/>
      <c r="C4" s="3"/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</row>
    <row r="5" customFormat="false" ht="15" hidden="false" customHeight="false" outlineLevel="0" collapsed="false">
      <c r="A5" s="39" t="s">
        <v>13</v>
      </c>
      <c r="B5" s="39"/>
      <c r="D5" s="6" t="n">
        <v>3271</v>
      </c>
      <c r="E5" s="6" t="n">
        <v>3341</v>
      </c>
      <c r="F5" s="6" t="n">
        <v>3204</v>
      </c>
      <c r="G5" s="6" t="n">
        <v>4590</v>
      </c>
      <c r="H5" s="6" t="n">
        <v>4879</v>
      </c>
      <c r="I5" s="6" t="n">
        <v>8967</v>
      </c>
      <c r="J5" s="6" t="n">
        <v>3843</v>
      </c>
      <c r="K5" s="7" t="n">
        <f aca="false">SUM(D5:J5)</f>
        <v>32095</v>
      </c>
    </row>
    <row r="6" customFormat="false" ht="15" hidden="false" customHeight="false" outlineLevel="0" collapsed="false">
      <c r="A6" s="40" t="s">
        <v>14</v>
      </c>
      <c r="B6" s="40"/>
      <c r="D6" s="9" t="n">
        <v>3357.3</v>
      </c>
      <c r="E6" s="9" t="n">
        <v>3485.3</v>
      </c>
      <c r="F6" s="9" t="n">
        <v>3465</v>
      </c>
      <c r="G6" s="9" t="n">
        <v>3778.1</v>
      </c>
      <c r="H6" s="9" t="n">
        <v>4026.2</v>
      </c>
      <c r="I6" s="9" t="n">
        <v>8841.9</v>
      </c>
      <c r="J6" s="9" t="n">
        <v>4798.9</v>
      </c>
      <c r="K6" s="10" t="n">
        <f aca="false">SUM(D6:J6)</f>
        <v>31752.7</v>
      </c>
    </row>
    <row r="7" customFormat="false" ht="15" hidden="false" customHeight="false" outlineLevel="0" collapsed="false">
      <c r="A7" s="41" t="s">
        <v>15</v>
      </c>
      <c r="B7" s="41"/>
      <c r="D7" s="12" t="n">
        <f aca="false">D6-D5</f>
        <v>86.3000000000002</v>
      </c>
      <c r="E7" s="12" t="n">
        <f aca="false">E6-E5</f>
        <v>144.3</v>
      </c>
      <c r="F7" s="12" t="n">
        <f aca="false">F6-F5</f>
        <v>261</v>
      </c>
      <c r="G7" s="12" t="n">
        <f aca="false">G6-G5</f>
        <v>-811.9</v>
      </c>
      <c r="H7" s="12" t="n">
        <f aca="false">H6-H5</f>
        <v>-852.8</v>
      </c>
      <c r="I7" s="12" t="n">
        <f aca="false">I6-I5</f>
        <v>-125.1</v>
      </c>
      <c r="J7" s="12" t="n">
        <f aca="false">J6-J5</f>
        <v>955.9</v>
      </c>
      <c r="K7" s="13" t="n">
        <f aca="false">SUM(D7:J7)</f>
        <v>-342.300000000001</v>
      </c>
    </row>
    <row r="8" customFormat="false" ht="15" hidden="false" customHeight="false" outlineLevel="0" collapsed="false">
      <c r="A8" s="41" t="s">
        <v>16</v>
      </c>
      <c r="B8" s="41"/>
      <c r="D8" s="14" t="n">
        <f aca="false">IFERROR((D6-D5)/D5,0)</f>
        <v>0.0263833690003058</v>
      </c>
      <c r="E8" s="14" t="n">
        <f aca="false">IFERROR((E6-E5)/E5,0)</f>
        <v>0.0431906614785993</v>
      </c>
      <c r="F8" s="14" t="n">
        <f aca="false">IFERROR((F6-F5)/F5,0)</f>
        <v>0.0814606741573034</v>
      </c>
      <c r="G8" s="14" t="n">
        <f aca="false">IFERROR((G6-G5)/G5,0)</f>
        <v>-0.176884531590414</v>
      </c>
      <c r="H8" s="14" t="n">
        <f aca="false">IFERROR((H6-H5)/H5,0)</f>
        <v>-0.174789915966387</v>
      </c>
      <c r="I8" s="14" t="n">
        <f aca="false">IFERROR((I6-I5)/I5,0)</f>
        <v>-0.0139511542321847</v>
      </c>
      <c r="J8" s="14" t="n">
        <f aca="false">IFERROR((J6-J5)/J5,0)</f>
        <v>0.248737965131408</v>
      </c>
      <c r="K8" s="15" t="n">
        <f aca="false">IFERROR((SUM(D6:J6)-SUM(D5:J5))/SUM(D5:J5),0)</f>
        <v>-0.0106652126499456</v>
      </c>
    </row>
    <row r="9" customFormat="false" ht="15" hidden="false" customHeight="false" outlineLevel="0" collapsed="false">
      <c r="A9" s="39" t="s">
        <v>17</v>
      </c>
      <c r="B9" s="39"/>
      <c r="D9" s="16" t="n">
        <v>1075.1</v>
      </c>
      <c r="E9" s="16" t="n">
        <v>1109.4</v>
      </c>
      <c r="F9" s="16" t="n">
        <v>1115.6</v>
      </c>
      <c r="G9" s="16" t="n">
        <v>1592.9</v>
      </c>
      <c r="H9" s="16" t="n">
        <v>1786.4</v>
      </c>
      <c r="I9" s="16" t="n">
        <v>3479.2</v>
      </c>
      <c r="J9" s="16" t="n">
        <v>1434.6</v>
      </c>
      <c r="K9" s="10" t="n">
        <f aca="false">SUM(D9:J9)</f>
        <v>11593.2</v>
      </c>
    </row>
    <row r="10" customFormat="false" ht="15" hidden="false" customHeight="false" outlineLevel="0" collapsed="false">
      <c r="A10" s="40" t="s">
        <v>18</v>
      </c>
      <c r="B10" s="40"/>
      <c r="D10" s="9" t="n">
        <v>1112.7</v>
      </c>
      <c r="E10" s="9" t="n">
        <v>1189.2</v>
      </c>
      <c r="F10" s="9" t="n">
        <v>1197.8</v>
      </c>
      <c r="G10" s="9" t="n">
        <v>1339.8</v>
      </c>
      <c r="H10" s="9" t="n">
        <v>1471.5</v>
      </c>
      <c r="I10" s="9" t="n">
        <v>3450.5</v>
      </c>
      <c r="J10" s="9" t="n">
        <v>1808.8</v>
      </c>
      <c r="K10" s="10" t="n">
        <f aca="false">SUM(D10:J10)</f>
        <v>11570.3</v>
      </c>
    </row>
    <row r="12" customFormat="false" ht="15" hidden="false" customHeight="true" outlineLevel="0" collapsed="false">
      <c r="A12" s="38" t="s">
        <v>35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</row>
    <row r="13" customFormat="false" ht="21.75" hidden="false" customHeight="true" outlineLevel="0" collapsed="false">
      <c r="A13" s="3" t="s">
        <v>36</v>
      </c>
      <c r="B13" s="3" t="s">
        <v>37</v>
      </c>
      <c r="C13" s="3" t="s">
        <v>3</v>
      </c>
      <c r="D13" s="3" t="s">
        <v>4</v>
      </c>
      <c r="E13" s="3" t="s">
        <v>5</v>
      </c>
      <c r="F13" s="3" t="s">
        <v>6</v>
      </c>
      <c r="G13" s="3" t="s">
        <v>7</v>
      </c>
      <c r="H13" s="3" t="s">
        <v>8</v>
      </c>
      <c r="I13" s="3" t="s">
        <v>9</v>
      </c>
      <c r="J13" s="3" t="s">
        <v>10</v>
      </c>
      <c r="K13" s="3" t="s">
        <v>38</v>
      </c>
    </row>
    <row r="14" customFormat="false" ht="15" hidden="false" customHeight="true" outlineLevel="0" collapsed="false">
      <c r="A14" s="42" t="s">
        <v>133</v>
      </c>
      <c r="B14" s="43" t="s">
        <v>134</v>
      </c>
      <c r="C14" s="5" t="s">
        <v>26</v>
      </c>
      <c r="D14" s="6" t="n">
        <v>39</v>
      </c>
      <c r="E14" s="6" t="n">
        <v>45</v>
      </c>
      <c r="F14" s="6" t="n">
        <v>34</v>
      </c>
      <c r="G14" s="6" t="n">
        <v>80</v>
      </c>
      <c r="H14" s="6" t="n">
        <v>112</v>
      </c>
      <c r="I14" s="6" t="n">
        <v>192</v>
      </c>
      <c r="J14" s="6" t="n">
        <v>85</v>
      </c>
      <c r="K14" s="7" t="n">
        <f aca="false">SUM(D14:J14)</f>
        <v>587</v>
      </c>
    </row>
    <row r="15" customFormat="false" ht="15" hidden="false" customHeight="false" outlineLevel="0" collapsed="false">
      <c r="A15" s="42"/>
      <c r="B15" s="42"/>
      <c r="C15" s="44" t="s">
        <v>14</v>
      </c>
      <c r="D15" s="9" t="n">
        <v>42.4</v>
      </c>
      <c r="E15" s="9" t="n">
        <v>50</v>
      </c>
      <c r="F15" s="9" t="n">
        <v>43.7</v>
      </c>
      <c r="G15" s="9" t="n">
        <v>53.2</v>
      </c>
      <c r="H15" s="9" t="n">
        <v>77.1</v>
      </c>
      <c r="I15" s="9" t="n">
        <v>160.1</v>
      </c>
      <c r="J15" s="9" t="n">
        <v>75.9</v>
      </c>
      <c r="K15" s="10" t="n">
        <f aca="false">SUM(D15:J15)</f>
        <v>502.4</v>
      </c>
    </row>
    <row r="16" customFormat="false" ht="15" hidden="false" customHeight="false" outlineLevel="0" collapsed="false">
      <c r="A16" s="42"/>
      <c r="B16" s="42"/>
      <c r="C16" s="11" t="s">
        <v>41</v>
      </c>
      <c r="D16" s="14" t="n">
        <f aca="false">IFERROR((D15-D14)/D14,0)</f>
        <v>0.0871794871794872</v>
      </c>
      <c r="E16" s="14" t="n">
        <f aca="false">IFERROR((E15-E14)/E14,0)</f>
        <v>0.111111111111111</v>
      </c>
      <c r="F16" s="14" t="n">
        <f aca="false">IFERROR((F15-F14)/F14,0)</f>
        <v>0.285294117647059</v>
      </c>
      <c r="G16" s="14" t="n">
        <f aca="false">IFERROR((G15-G14)/G14,0)</f>
        <v>-0.335</v>
      </c>
      <c r="H16" s="14" t="n">
        <f aca="false">IFERROR((H15-H14)/H14,0)</f>
        <v>-0.311607142857143</v>
      </c>
      <c r="I16" s="14" t="n">
        <f aca="false">IFERROR((I15-I14)/I14,0)</f>
        <v>-0.166145833333333</v>
      </c>
      <c r="J16" s="14" t="n">
        <f aca="false">IFERROR((J15-J14)/J14,0)</f>
        <v>-0.107058823529412</v>
      </c>
      <c r="K16" s="15" t="n">
        <f aca="false">IFERROR((SUM(D15:J15)-SUM(D14:J14))/SUM(D14:J14),0)</f>
        <v>-0.14412265758092</v>
      </c>
    </row>
    <row r="17" customFormat="false" ht="15" hidden="false" customHeight="true" outlineLevel="0" collapsed="false">
      <c r="A17" s="42" t="s">
        <v>135</v>
      </c>
      <c r="B17" s="43" t="s">
        <v>136</v>
      </c>
      <c r="C17" s="5" t="s">
        <v>26</v>
      </c>
      <c r="D17" s="6" t="n">
        <v>41</v>
      </c>
      <c r="E17" s="6" t="n">
        <v>55</v>
      </c>
      <c r="F17" s="6" t="n">
        <v>31</v>
      </c>
      <c r="G17" s="6" t="n">
        <v>56</v>
      </c>
      <c r="H17" s="6" t="n">
        <v>98</v>
      </c>
      <c r="I17" s="6" t="n">
        <v>240</v>
      </c>
      <c r="J17" s="6" t="n">
        <v>66</v>
      </c>
      <c r="K17" s="7" t="n">
        <f aca="false">SUM(D17:J17)</f>
        <v>587</v>
      </c>
    </row>
    <row r="18" customFormat="false" ht="15" hidden="false" customHeight="false" outlineLevel="0" collapsed="false">
      <c r="A18" s="42"/>
      <c r="B18" s="42"/>
      <c r="C18" s="44" t="s">
        <v>14</v>
      </c>
      <c r="D18" s="9" t="n">
        <v>59.5</v>
      </c>
      <c r="E18" s="9" t="n">
        <v>47.7</v>
      </c>
      <c r="F18" s="9" t="n">
        <v>51.3</v>
      </c>
      <c r="G18" s="9" t="n">
        <v>45.3</v>
      </c>
      <c r="H18" s="9" t="n">
        <v>60.5</v>
      </c>
      <c r="I18" s="9" t="n">
        <v>147.3</v>
      </c>
      <c r="J18" s="9" t="n">
        <v>72.8</v>
      </c>
      <c r="K18" s="10" t="n">
        <f aca="false">SUM(D18:J18)</f>
        <v>484.4</v>
      </c>
    </row>
    <row r="19" customFormat="false" ht="15" hidden="false" customHeight="false" outlineLevel="0" collapsed="false">
      <c r="A19" s="42"/>
      <c r="B19" s="42"/>
      <c r="C19" s="11" t="s">
        <v>41</v>
      </c>
      <c r="D19" s="14" t="n">
        <f aca="false">IFERROR((D18-D17)/D17,0)</f>
        <v>0.451219512195122</v>
      </c>
      <c r="E19" s="14" t="n">
        <f aca="false">IFERROR((E18-E17)/E17,0)</f>
        <v>-0.132727272727273</v>
      </c>
      <c r="F19" s="14" t="n">
        <f aca="false">IFERROR((F18-F17)/F17,0)</f>
        <v>0.654838709677419</v>
      </c>
      <c r="G19" s="14" t="n">
        <f aca="false">IFERROR((G18-G17)/G17,0)</f>
        <v>-0.191071428571429</v>
      </c>
      <c r="H19" s="14" t="n">
        <f aca="false">IFERROR((H18-H17)/H17,0)</f>
        <v>-0.38265306122449</v>
      </c>
      <c r="I19" s="14" t="n">
        <f aca="false">IFERROR((I18-I17)/I17,0)</f>
        <v>-0.38625</v>
      </c>
      <c r="J19" s="14" t="n">
        <f aca="false">IFERROR((J18-J17)/J17,0)</f>
        <v>0.103030303030303</v>
      </c>
      <c r="K19" s="15" t="n">
        <f aca="false">IFERROR((SUM(D18:J18)-SUM(D17:J17))/SUM(D17:J17),0)</f>
        <v>-0.174787052810903</v>
      </c>
    </row>
    <row r="20" customFormat="false" ht="15" hidden="false" customHeight="true" outlineLevel="0" collapsed="false">
      <c r="A20" s="42" t="s">
        <v>137</v>
      </c>
      <c r="B20" s="43" t="s">
        <v>138</v>
      </c>
      <c r="C20" s="5" t="s">
        <v>26</v>
      </c>
      <c r="D20" s="6" t="n">
        <v>45</v>
      </c>
      <c r="E20" s="6" t="n">
        <v>52</v>
      </c>
      <c r="F20" s="6" t="n">
        <v>35</v>
      </c>
      <c r="G20" s="6" t="n">
        <v>56</v>
      </c>
      <c r="H20" s="6" t="n">
        <v>94</v>
      </c>
      <c r="I20" s="6" t="n">
        <v>220</v>
      </c>
      <c r="J20" s="6" t="n">
        <v>79</v>
      </c>
      <c r="K20" s="7" t="n">
        <f aca="false">SUM(D20:J20)</f>
        <v>581</v>
      </c>
    </row>
    <row r="21" customFormat="false" ht="15" hidden="false" customHeight="false" outlineLevel="0" collapsed="false">
      <c r="A21" s="42"/>
      <c r="B21" s="42"/>
      <c r="C21" s="44" t="s">
        <v>14</v>
      </c>
      <c r="D21" s="9" t="n">
        <v>55.2</v>
      </c>
      <c r="E21" s="9" t="n">
        <v>58.4</v>
      </c>
      <c r="F21" s="9" t="n">
        <v>59.4</v>
      </c>
      <c r="G21" s="9" t="n">
        <v>54.6</v>
      </c>
      <c r="H21" s="9" t="n">
        <v>54.5</v>
      </c>
      <c r="I21" s="9" t="n">
        <v>131.2</v>
      </c>
      <c r="J21" s="9" t="n">
        <v>67.6</v>
      </c>
      <c r="K21" s="10" t="n">
        <f aca="false">SUM(D21:J21)</f>
        <v>480.9</v>
      </c>
    </row>
    <row r="22" customFormat="false" ht="15" hidden="false" customHeight="false" outlineLevel="0" collapsed="false">
      <c r="A22" s="42"/>
      <c r="B22" s="42"/>
      <c r="C22" s="11" t="s">
        <v>41</v>
      </c>
      <c r="D22" s="14" t="n">
        <f aca="false">IFERROR((D21-D20)/D20,0)</f>
        <v>0.226666666666667</v>
      </c>
      <c r="E22" s="14" t="n">
        <f aca="false">IFERROR((E21-E20)/E20,0)</f>
        <v>0.123076923076923</v>
      </c>
      <c r="F22" s="14" t="n">
        <f aca="false">IFERROR((F21-F20)/F20,0)</f>
        <v>0.697142857142857</v>
      </c>
      <c r="G22" s="14" t="n">
        <f aca="false">IFERROR((G21-G20)/G20,0)</f>
        <v>-0.025</v>
      </c>
      <c r="H22" s="14" t="n">
        <f aca="false">IFERROR((H21-H20)/H20,0)</f>
        <v>-0.420212765957447</v>
      </c>
      <c r="I22" s="14" t="n">
        <f aca="false">IFERROR((I21-I20)/I20,0)</f>
        <v>-0.403636363636364</v>
      </c>
      <c r="J22" s="14" t="n">
        <f aca="false">IFERROR((J21-J20)/J20,0)</f>
        <v>-0.144303797468355</v>
      </c>
      <c r="K22" s="15" t="n">
        <f aca="false">IFERROR((SUM(D21:J21)-SUM(D20:J20))/SUM(D20:J20),0)</f>
        <v>-0.172289156626506</v>
      </c>
    </row>
    <row r="23" customFormat="false" ht="15" hidden="false" customHeight="true" outlineLevel="0" collapsed="false">
      <c r="A23" s="42" t="s">
        <v>139</v>
      </c>
      <c r="B23" s="43" t="s">
        <v>140</v>
      </c>
      <c r="C23" s="5" t="s">
        <v>26</v>
      </c>
      <c r="D23" s="6" t="n">
        <v>23</v>
      </c>
      <c r="E23" s="6" t="n">
        <v>41</v>
      </c>
      <c r="F23" s="6" t="n">
        <v>49</v>
      </c>
      <c r="G23" s="6" t="n">
        <v>58</v>
      </c>
      <c r="H23" s="6" t="n">
        <v>106</v>
      </c>
      <c r="I23" s="6" t="n">
        <v>219</v>
      </c>
      <c r="J23" s="6" t="n">
        <v>73</v>
      </c>
      <c r="K23" s="7" t="n">
        <f aca="false">SUM(D23:J23)</f>
        <v>569</v>
      </c>
    </row>
    <row r="24" customFormat="false" ht="15" hidden="false" customHeight="false" outlineLevel="0" collapsed="false">
      <c r="A24" s="42"/>
      <c r="B24" s="42"/>
      <c r="C24" s="44" t="s">
        <v>14</v>
      </c>
      <c r="D24" s="9" t="n">
        <v>45.2</v>
      </c>
      <c r="E24" s="9" t="n">
        <v>39.2</v>
      </c>
      <c r="F24" s="9" t="n">
        <v>47.2</v>
      </c>
      <c r="G24" s="9" t="n">
        <v>79.2</v>
      </c>
      <c r="H24" s="9" t="n">
        <v>71.2</v>
      </c>
      <c r="I24" s="9" t="n">
        <v>176.7</v>
      </c>
      <c r="J24" s="9" t="n">
        <v>70.2</v>
      </c>
      <c r="K24" s="10" t="n">
        <f aca="false">SUM(D24:J24)</f>
        <v>528.9</v>
      </c>
    </row>
    <row r="25" customFormat="false" ht="15" hidden="false" customHeight="false" outlineLevel="0" collapsed="false">
      <c r="A25" s="42"/>
      <c r="B25" s="42"/>
      <c r="C25" s="11" t="s">
        <v>41</v>
      </c>
      <c r="D25" s="14" t="n">
        <f aca="false">IFERROR((D24-D23)/D23,0)</f>
        <v>0.965217391304348</v>
      </c>
      <c r="E25" s="14" t="n">
        <f aca="false">IFERROR((E24-E23)/E23,0)</f>
        <v>-0.0439024390243902</v>
      </c>
      <c r="F25" s="14" t="n">
        <f aca="false">IFERROR((F24-F23)/F23,0)</f>
        <v>-0.036734693877551</v>
      </c>
      <c r="G25" s="14" t="n">
        <f aca="false">IFERROR((G24-G23)/G23,0)</f>
        <v>0.36551724137931</v>
      </c>
      <c r="H25" s="14" t="n">
        <f aca="false">IFERROR((H24-H23)/H23,0)</f>
        <v>-0.328301886792453</v>
      </c>
      <c r="I25" s="14" t="n">
        <f aca="false">IFERROR((I24-I23)/I23,0)</f>
        <v>-0.193150684931507</v>
      </c>
      <c r="J25" s="14" t="n">
        <f aca="false">IFERROR((J24-J23)/J23,0)</f>
        <v>-0.0383561643835616</v>
      </c>
      <c r="K25" s="15" t="n">
        <f aca="false">IFERROR((SUM(D24:J24)-SUM(D23:J23))/SUM(D23:J23),0)</f>
        <v>-0.0704745166959579</v>
      </c>
    </row>
    <row r="26" customFormat="false" ht="15" hidden="false" customHeight="true" outlineLevel="0" collapsed="false">
      <c r="A26" s="42" t="s">
        <v>141</v>
      </c>
      <c r="B26" s="43" t="s">
        <v>142</v>
      </c>
      <c r="C26" s="5" t="s">
        <v>26</v>
      </c>
      <c r="D26" s="6" t="n">
        <v>24</v>
      </c>
      <c r="E26" s="6" t="n">
        <v>52</v>
      </c>
      <c r="F26" s="6" t="n">
        <v>60</v>
      </c>
      <c r="G26" s="6" t="n">
        <v>104</v>
      </c>
      <c r="H26" s="6" t="n">
        <v>125</v>
      </c>
      <c r="I26" s="6" t="n">
        <v>124</v>
      </c>
      <c r="J26" s="6" t="n">
        <v>75</v>
      </c>
      <c r="K26" s="7" t="n">
        <f aca="false">SUM(D26:J26)</f>
        <v>564</v>
      </c>
    </row>
    <row r="27" customFormat="false" ht="15" hidden="false" customHeight="false" outlineLevel="0" collapsed="false">
      <c r="A27" s="42"/>
      <c r="B27" s="42"/>
      <c r="C27" s="44" t="s">
        <v>14</v>
      </c>
      <c r="D27" s="9" t="n">
        <v>72.5</v>
      </c>
      <c r="E27" s="9" t="n">
        <v>59.3</v>
      </c>
      <c r="F27" s="9" t="n">
        <v>64.7</v>
      </c>
      <c r="G27" s="9" t="n">
        <v>76.8</v>
      </c>
      <c r="H27" s="9" t="n">
        <v>106.6</v>
      </c>
      <c r="I27" s="9" t="n">
        <v>138</v>
      </c>
      <c r="J27" s="9" t="n">
        <v>79.4</v>
      </c>
      <c r="K27" s="10" t="n">
        <f aca="false">SUM(D27:J27)</f>
        <v>597.3</v>
      </c>
    </row>
    <row r="28" customFormat="false" ht="15" hidden="false" customHeight="false" outlineLevel="0" collapsed="false">
      <c r="A28" s="42"/>
      <c r="B28" s="42"/>
      <c r="C28" s="11" t="s">
        <v>41</v>
      </c>
      <c r="D28" s="14" t="n">
        <f aca="false">IFERROR((D27-D26)/D26,0)</f>
        <v>2.02083333333333</v>
      </c>
      <c r="E28" s="14" t="n">
        <f aca="false">IFERROR((E27-E26)/E26,0)</f>
        <v>0.140384615384615</v>
      </c>
      <c r="F28" s="14" t="n">
        <f aca="false">IFERROR((F27-F26)/F26,0)</f>
        <v>0.0783333333333334</v>
      </c>
      <c r="G28" s="14" t="n">
        <f aca="false">IFERROR((G27-G26)/G26,0)</f>
        <v>-0.261538461538462</v>
      </c>
      <c r="H28" s="14" t="n">
        <f aca="false">IFERROR((H27-H26)/H26,0)</f>
        <v>-0.1472</v>
      </c>
      <c r="I28" s="14" t="n">
        <f aca="false">IFERROR((I27-I26)/I26,0)</f>
        <v>0.112903225806452</v>
      </c>
      <c r="J28" s="14" t="n">
        <f aca="false">IFERROR((J27-J26)/J26,0)</f>
        <v>0.0586666666666667</v>
      </c>
      <c r="K28" s="15" t="n">
        <f aca="false">IFERROR((SUM(D27:J27)-SUM(D26:J26))/SUM(D26:J26),0)</f>
        <v>0.0590425531914893</v>
      </c>
    </row>
    <row r="29" customFormat="false" ht="15" hidden="false" customHeight="true" outlineLevel="0" collapsed="false">
      <c r="A29" s="42" t="s">
        <v>143</v>
      </c>
      <c r="B29" s="43" t="s">
        <v>144</v>
      </c>
      <c r="C29" s="5" t="s">
        <v>26</v>
      </c>
      <c r="D29" s="6" t="n">
        <v>51</v>
      </c>
      <c r="E29" s="6" t="n">
        <v>41</v>
      </c>
      <c r="F29" s="6" t="n">
        <v>59</v>
      </c>
      <c r="G29" s="6" t="n">
        <v>57</v>
      </c>
      <c r="H29" s="6" t="n">
        <v>67</v>
      </c>
      <c r="I29" s="6" t="n">
        <v>184</v>
      </c>
      <c r="J29" s="6" t="n">
        <v>52</v>
      </c>
      <c r="K29" s="7" t="n">
        <f aca="false">SUM(D29:J29)</f>
        <v>511</v>
      </c>
    </row>
    <row r="30" customFormat="false" ht="15" hidden="false" customHeight="false" outlineLevel="0" collapsed="false">
      <c r="A30" s="42"/>
      <c r="B30" s="42"/>
      <c r="C30" s="44" t="s">
        <v>14</v>
      </c>
      <c r="D30" s="9" t="n">
        <v>39.8</v>
      </c>
      <c r="E30" s="9" t="n">
        <v>45.2</v>
      </c>
      <c r="F30" s="9" t="n">
        <v>48.2</v>
      </c>
      <c r="G30" s="9" t="n">
        <v>57.2</v>
      </c>
      <c r="H30" s="9" t="n">
        <v>53.2</v>
      </c>
      <c r="I30" s="9" t="n">
        <v>132.8</v>
      </c>
      <c r="J30" s="9" t="n">
        <v>58.3</v>
      </c>
      <c r="K30" s="10" t="n">
        <f aca="false">SUM(D30:J30)</f>
        <v>434.7</v>
      </c>
    </row>
    <row r="31" customFormat="false" ht="15" hidden="false" customHeight="false" outlineLevel="0" collapsed="false">
      <c r="A31" s="42"/>
      <c r="B31" s="42"/>
      <c r="C31" s="11" t="s">
        <v>41</v>
      </c>
      <c r="D31" s="14" t="n">
        <f aca="false">IFERROR((D30-D29)/D29,0)</f>
        <v>-0.219607843137255</v>
      </c>
      <c r="E31" s="14" t="n">
        <f aca="false">IFERROR((E30-E29)/E29,0)</f>
        <v>0.102439024390244</v>
      </c>
      <c r="F31" s="14" t="n">
        <f aca="false">IFERROR((F30-F29)/F29,0)</f>
        <v>-0.183050847457627</v>
      </c>
      <c r="G31" s="14" t="n">
        <f aca="false">IFERROR((G30-G29)/G29,0)</f>
        <v>0.00350877192982461</v>
      </c>
      <c r="H31" s="14" t="n">
        <f aca="false">IFERROR((H30-H29)/H29,0)</f>
        <v>-0.205970149253731</v>
      </c>
      <c r="I31" s="14" t="n">
        <f aca="false">IFERROR((I30-I29)/I29,0)</f>
        <v>-0.278260869565217</v>
      </c>
      <c r="J31" s="14" t="n">
        <f aca="false">IFERROR((J30-J29)/J29,0)</f>
        <v>0.121153846153846</v>
      </c>
      <c r="K31" s="15" t="n">
        <f aca="false">IFERROR((SUM(D30:J30)-SUM(D29:J29))/SUM(D29:J29),0)</f>
        <v>-0.149315068493151</v>
      </c>
    </row>
    <row r="32" customFormat="false" ht="15" hidden="false" customHeight="true" outlineLevel="0" collapsed="false">
      <c r="A32" s="42" t="s">
        <v>145</v>
      </c>
      <c r="B32" s="43" t="s">
        <v>146</v>
      </c>
      <c r="C32" s="5" t="s">
        <v>26</v>
      </c>
      <c r="D32" s="6" t="n">
        <v>38</v>
      </c>
      <c r="E32" s="6" t="n">
        <v>46</v>
      </c>
      <c r="F32" s="6" t="n">
        <v>42</v>
      </c>
      <c r="G32" s="6" t="n">
        <v>65</v>
      </c>
      <c r="H32" s="6" t="n">
        <v>66</v>
      </c>
      <c r="I32" s="6" t="n">
        <v>149</v>
      </c>
      <c r="J32" s="6" t="n">
        <v>74</v>
      </c>
      <c r="K32" s="7" t="n">
        <f aca="false">SUM(D32:J32)</f>
        <v>480</v>
      </c>
    </row>
    <row r="33" customFormat="false" ht="15" hidden="false" customHeight="false" outlineLevel="0" collapsed="false">
      <c r="A33" s="42"/>
      <c r="B33" s="42"/>
      <c r="C33" s="44" t="s">
        <v>14</v>
      </c>
      <c r="D33" s="9" t="n">
        <v>37.9</v>
      </c>
      <c r="E33" s="9" t="n">
        <v>42.5</v>
      </c>
      <c r="F33" s="9" t="n">
        <v>42.1</v>
      </c>
      <c r="G33" s="9" t="n">
        <v>44.1</v>
      </c>
      <c r="H33" s="9" t="n">
        <v>51.8</v>
      </c>
      <c r="I33" s="9" t="n">
        <v>112.7</v>
      </c>
      <c r="J33" s="9" t="n">
        <v>67.4</v>
      </c>
      <c r="K33" s="10" t="n">
        <f aca="false">SUM(D33:J33)</f>
        <v>398.5</v>
      </c>
    </row>
    <row r="34" customFormat="false" ht="15" hidden="false" customHeight="false" outlineLevel="0" collapsed="false">
      <c r="A34" s="42"/>
      <c r="B34" s="42"/>
      <c r="C34" s="11" t="s">
        <v>41</v>
      </c>
      <c r="D34" s="14" t="n">
        <f aca="false">IFERROR((D33-D32)/D32,0)</f>
        <v>-0.00263157894736846</v>
      </c>
      <c r="E34" s="14" t="n">
        <f aca="false">IFERROR((E33-E32)/E32,0)</f>
        <v>-0.0760869565217391</v>
      </c>
      <c r="F34" s="14" t="n">
        <f aca="false">IFERROR((F33-F32)/F32,0)</f>
        <v>0.00238095238095242</v>
      </c>
      <c r="G34" s="14" t="n">
        <f aca="false">IFERROR((G33-G32)/G32,0)</f>
        <v>-0.321538461538462</v>
      </c>
      <c r="H34" s="14" t="n">
        <f aca="false">IFERROR((H33-H32)/H32,0)</f>
        <v>-0.215151515151515</v>
      </c>
      <c r="I34" s="14" t="n">
        <f aca="false">IFERROR((I33-I32)/I32,0)</f>
        <v>-0.243624161073825</v>
      </c>
      <c r="J34" s="14" t="n">
        <f aca="false">IFERROR((J33-J32)/J32,0)</f>
        <v>-0.0891891891891891</v>
      </c>
      <c r="K34" s="15" t="n">
        <f aca="false">IFERROR((SUM(D33:J33)-SUM(D32:J32))/SUM(D32:J32),0)</f>
        <v>-0.169791666666667</v>
      </c>
    </row>
    <row r="35" customFormat="false" ht="15" hidden="false" customHeight="true" outlineLevel="0" collapsed="false">
      <c r="A35" s="42" t="s">
        <v>147</v>
      </c>
      <c r="B35" s="43" t="s">
        <v>148</v>
      </c>
      <c r="C35" s="5" t="s">
        <v>26</v>
      </c>
      <c r="D35" s="6" t="n">
        <v>21</v>
      </c>
      <c r="E35" s="6" t="n">
        <v>26</v>
      </c>
      <c r="F35" s="6" t="n">
        <v>32</v>
      </c>
      <c r="G35" s="6" t="n">
        <v>60</v>
      </c>
      <c r="H35" s="6" t="n">
        <v>83</v>
      </c>
      <c r="I35" s="6" t="n">
        <v>170</v>
      </c>
      <c r="J35" s="6" t="n">
        <v>73</v>
      </c>
      <c r="K35" s="7" t="n">
        <f aca="false">SUM(D35:J35)</f>
        <v>465</v>
      </c>
    </row>
    <row r="36" customFormat="false" ht="15" hidden="false" customHeight="false" outlineLevel="0" collapsed="false">
      <c r="A36" s="42"/>
      <c r="B36" s="42"/>
      <c r="C36" s="44" t="s">
        <v>14</v>
      </c>
      <c r="D36" s="9" t="n">
        <v>40.9</v>
      </c>
      <c r="E36" s="9" t="n">
        <v>34.9</v>
      </c>
      <c r="F36" s="9" t="n">
        <v>38.3</v>
      </c>
      <c r="G36" s="9" t="n">
        <v>56.9</v>
      </c>
      <c r="H36" s="9" t="n">
        <v>61.3</v>
      </c>
      <c r="I36" s="9" t="n">
        <v>199.4</v>
      </c>
      <c r="J36" s="9" t="n">
        <v>85.1</v>
      </c>
      <c r="K36" s="10" t="n">
        <f aca="false">SUM(D36:J36)</f>
        <v>516.8</v>
      </c>
    </row>
    <row r="37" customFormat="false" ht="15" hidden="false" customHeight="false" outlineLevel="0" collapsed="false">
      <c r="A37" s="42"/>
      <c r="B37" s="42"/>
      <c r="C37" s="11" t="s">
        <v>41</v>
      </c>
      <c r="D37" s="14" t="n">
        <f aca="false">IFERROR((D36-D35)/D35,0)</f>
        <v>0.947619047619048</v>
      </c>
      <c r="E37" s="14" t="n">
        <f aca="false">IFERROR((E36-E35)/E35,0)</f>
        <v>0.342307692307692</v>
      </c>
      <c r="F37" s="14" t="n">
        <f aca="false">IFERROR((F36-F35)/F35,0)</f>
        <v>0.196875</v>
      </c>
      <c r="G37" s="14" t="n">
        <f aca="false">IFERROR((G36-G35)/G35,0)</f>
        <v>-0.0516666666666667</v>
      </c>
      <c r="H37" s="14" t="n">
        <f aca="false">IFERROR((H36-H35)/H35,0)</f>
        <v>-0.26144578313253</v>
      </c>
      <c r="I37" s="14" t="n">
        <f aca="false">IFERROR((I36-I35)/I35,0)</f>
        <v>0.172941176470588</v>
      </c>
      <c r="J37" s="14" t="n">
        <f aca="false">IFERROR((J36-J35)/J35,0)</f>
        <v>0.165753424657534</v>
      </c>
      <c r="K37" s="15" t="n">
        <f aca="false">IFERROR((SUM(D36:J36)-SUM(D35:J35))/SUM(D35:J35),0)</f>
        <v>0.111397849462366</v>
      </c>
    </row>
    <row r="38" customFormat="false" ht="15" hidden="false" customHeight="true" outlineLevel="0" collapsed="false">
      <c r="A38" s="42" t="s">
        <v>149</v>
      </c>
      <c r="B38" s="43" t="s">
        <v>150</v>
      </c>
      <c r="C38" s="5" t="s">
        <v>26</v>
      </c>
      <c r="D38" s="6" t="n">
        <v>23</v>
      </c>
      <c r="E38" s="6" t="n">
        <v>31</v>
      </c>
      <c r="F38" s="6" t="n">
        <v>28</v>
      </c>
      <c r="G38" s="6" t="n">
        <v>58</v>
      </c>
      <c r="H38" s="6" t="n">
        <v>74</v>
      </c>
      <c r="I38" s="6" t="n">
        <v>185</v>
      </c>
      <c r="J38" s="6" t="n">
        <v>54</v>
      </c>
      <c r="K38" s="7" t="n">
        <f aca="false">SUM(D38:J38)</f>
        <v>453</v>
      </c>
    </row>
    <row r="39" customFormat="false" ht="15" hidden="false" customHeight="false" outlineLevel="0" collapsed="false">
      <c r="A39" s="42"/>
      <c r="B39" s="42"/>
      <c r="C39" s="44" t="s">
        <v>14</v>
      </c>
      <c r="D39" s="9" t="n">
        <v>36.2</v>
      </c>
      <c r="E39" s="9" t="n">
        <v>36</v>
      </c>
      <c r="F39" s="9" t="n">
        <v>35.7</v>
      </c>
      <c r="G39" s="9" t="n">
        <v>36.6</v>
      </c>
      <c r="H39" s="9" t="n">
        <v>51.5</v>
      </c>
      <c r="I39" s="9" t="n">
        <v>145.3</v>
      </c>
      <c r="J39" s="9" t="n">
        <v>69.6</v>
      </c>
      <c r="K39" s="10" t="n">
        <f aca="false">SUM(D39:J39)</f>
        <v>410.9</v>
      </c>
    </row>
    <row r="40" customFormat="false" ht="15" hidden="false" customHeight="false" outlineLevel="0" collapsed="false">
      <c r="A40" s="42"/>
      <c r="B40" s="42"/>
      <c r="C40" s="11" t="s">
        <v>41</v>
      </c>
      <c r="D40" s="14" t="n">
        <f aca="false">IFERROR((D39-D38)/D38,0)</f>
        <v>0.573913043478261</v>
      </c>
      <c r="E40" s="14" t="n">
        <f aca="false">IFERROR((E39-E38)/E38,0)</f>
        <v>0.161290322580645</v>
      </c>
      <c r="F40" s="14" t="n">
        <f aca="false">IFERROR((F39-F38)/F38,0)</f>
        <v>0.275</v>
      </c>
      <c r="G40" s="14" t="n">
        <f aca="false">IFERROR((G39-G38)/G38,0)</f>
        <v>-0.368965517241379</v>
      </c>
      <c r="H40" s="14" t="n">
        <f aca="false">IFERROR((H39-H38)/H38,0)</f>
        <v>-0.304054054054054</v>
      </c>
      <c r="I40" s="14" t="n">
        <f aca="false">IFERROR((I39-I38)/I38,0)</f>
        <v>-0.214594594594595</v>
      </c>
      <c r="J40" s="14" t="n">
        <f aca="false">IFERROR((J39-J38)/J38,0)</f>
        <v>0.288888888888889</v>
      </c>
      <c r="K40" s="15" t="n">
        <f aca="false">IFERROR((SUM(D39:J39)-SUM(D38:J38))/SUM(D38:J38),0)</f>
        <v>-0.0929359823399559</v>
      </c>
    </row>
    <row r="41" customFormat="false" ht="15" hidden="false" customHeight="true" outlineLevel="0" collapsed="false">
      <c r="A41" s="42" t="s">
        <v>151</v>
      </c>
      <c r="B41" s="43" t="s">
        <v>152</v>
      </c>
      <c r="C41" s="5" t="s">
        <v>26</v>
      </c>
      <c r="D41" s="6" t="n">
        <v>19</v>
      </c>
      <c r="E41" s="6" t="n">
        <v>21</v>
      </c>
      <c r="F41" s="6" t="n">
        <v>21</v>
      </c>
      <c r="G41" s="6" t="n">
        <v>31</v>
      </c>
      <c r="H41" s="6" t="n">
        <v>113</v>
      </c>
      <c r="I41" s="6" t="n">
        <v>200</v>
      </c>
      <c r="J41" s="6" t="n">
        <v>47</v>
      </c>
      <c r="K41" s="7" t="n">
        <f aca="false">SUM(D41:J41)</f>
        <v>452</v>
      </c>
    </row>
    <row r="42" customFormat="false" ht="15" hidden="false" customHeight="false" outlineLevel="0" collapsed="false">
      <c r="A42" s="42"/>
      <c r="B42" s="42"/>
      <c r="C42" s="44" t="s">
        <v>14</v>
      </c>
      <c r="D42" s="9" t="n">
        <v>50.7</v>
      </c>
      <c r="E42" s="9" t="n">
        <v>28.3</v>
      </c>
      <c r="F42" s="9" t="n">
        <v>24.4</v>
      </c>
      <c r="G42" s="9" t="n">
        <v>22.5</v>
      </c>
      <c r="H42" s="9" t="n">
        <v>41.6</v>
      </c>
      <c r="I42" s="9" t="n">
        <v>154.4</v>
      </c>
      <c r="J42" s="9" t="n">
        <v>56.4</v>
      </c>
      <c r="K42" s="10" t="n">
        <f aca="false">SUM(D42:J42)</f>
        <v>378.3</v>
      </c>
    </row>
    <row r="43" customFormat="false" ht="15" hidden="false" customHeight="false" outlineLevel="0" collapsed="false">
      <c r="A43" s="42"/>
      <c r="B43" s="42"/>
      <c r="C43" s="11" t="s">
        <v>41</v>
      </c>
      <c r="D43" s="14" t="n">
        <f aca="false">IFERROR((D42-D41)/D41,0)</f>
        <v>1.66842105263158</v>
      </c>
      <c r="E43" s="14" t="n">
        <f aca="false">IFERROR((E42-E41)/E41,0)</f>
        <v>0.347619047619048</v>
      </c>
      <c r="F43" s="14" t="n">
        <f aca="false">IFERROR((F42-F41)/F41,0)</f>
        <v>0.161904761904762</v>
      </c>
      <c r="G43" s="14" t="n">
        <f aca="false">IFERROR((G42-G41)/G41,0)</f>
        <v>-0.274193548387097</v>
      </c>
      <c r="H43" s="14" t="n">
        <f aca="false">IFERROR((H42-H41)/H41,0)</f>
        <v>-0.631858407079646</v>
      </c>
      <c r="I43" s="14" t="n">
        <f aca="false">IFERROR((I42-I41)/I41,0)</f>
        <v>-0.228</v>
      </c>
      <c r="J43" s="14" t="n">
        <f aca="false">IFERROR((J42-J41)/J41,0)</f>
        <v>0.2</v>
      </c>
      <c r="K43" s="15" t="n">
        <f aca="false">IFERROR((SUM(D42:J42)-SUM(D41:J41))/SUM(D41:J41),0)</f>
        <v>-0.163053097345133</v>
      </c>
    </row>
    <row r="44" customFormat="false" ht="15" hidden="false" customHeight="true" outlineLevel="0" collapsed="false">
      <c r="A44" s="42" t="s">
        <v>153</v>
      </c>
      <c r="B44" s="43" t="s">
        <v>154</v>
      </c>
      <c r="C44" s="5" t="s">
        <v>26</v>
      </c>
      <c r="D44" s="6" t="n">
        <v>40</v>
      </c>
      <c r="E44" s="6" t="n">
        <v>29</v>
      </c>
      <c r="F44" s="6" t="n">
        <v>31</v>
      </c>
      <c r="G44" s="6" t="n">
        <v>60</v>
      </c>
      <c r="H44" s="6" t="n">
        <v>77</v>
      </c>
      <c r="I44" s="6" t="n">
        <v>147</v>
      </c>
      <c r="J44" s="6" t="n">
        <v>59</v>
      </c>
      <c r="K44" s="7" t="n">
        <f aca="false">SUM(D44:J44)</f>
        <v>443</v>
      </c>
    </row>
    <row r="45" customFormat="false" ht="15" hidden="false" customHeight="false" outlineLevel="0" collapsed="false">
      <c r="A45" s="42"/>
      <c r="B45" s="42"/>
      <c r="C45" s="44" t="s">
        <v>14</v>
      </c>
      <c r="D45" s="9" t="n">
        <v>31.8</v>
      </c>
      <c r="E45" s="9" t="n">
        <v>35.4</v>
      </c>
      <c r="F45" s="9" t="n">
        <v>40.8</v>
      </c>
      <c r="G45" s="9" t="n">
        <v>55.1</v>
      </c>
      <c r="H45" s="9" t="n">
        <v>64.4</v>
      </c>
      <c r="I45" s="9" t="n">
        <v>158.9</v>
      </c>
      <c r="J45" s="9" t="n">
        <v>71.1</v>
      </c>
      <c r="K45" s="10" t="n">
        <f aca="false">SUM(D45:J45)</f>
        <v>457.5</v>
      </c>
    </row>
    <row r="46" customFormat="false" ht="15" hidden="false" customHeight="false" outlineLevel="0" collapsed="false">
      <c r="A46" s="42"/>
      <c r="B46" s="42"/>
      <c r="C46" s="11" t="s">
        <v>41</v>
      </c>
      <c r="D46" s="14" t="n">
        <f aca="false">IFERROR((D45-D44)/D44,0)</f>
        <v>-0.205</v>
      </c>
      <c r="E46" s="14" t="n">
        <f aca="false">IFERROR((E45-E44)/E44,0)</f>
        <v>0.220689655172414</v>
      </c>
      <c r="F46" s="14" t="n">
        <f aca="false">IFERROR((F45-F44)/F44,0)</f>
        <v>0.316129032258064</v>
      </c>
      <c r="G46" s="14" t="n">
        <f aca="false">IFERROR((G45-G44)/G44,0)</f>
        <v>-0.0816666666666666</v>
      </c>
      <c r="H46" s="14" t="n">
        <f aca="false">IFERROR((H45-H44)/H44,0)</f>
        <v>-0.163636363636364</v>
      </c>
      <c r="I46" s="14" t="n">
        <f aca="false">IFERROR((I45-I44)/I44,0)</f>
        <v>0.080952380952381</v>
      </c>
      <c r="J46" s="14" t="n">
        <f aca="false">IFERROR((J45-J44)/J44,0)</f>
        <v>0.205084745762712</v>
      </c>
      <c r="K46" s="15" t="n">
        <f aca="false">IFERROR((SUM(D45:J45)-SUM(D44:J44))/SUM(D44:J44),0)</f>
        <v>0.0327313769751693</v>
      </c>
    </row>
    <row r="47" customFormat="false" ht="15" hidden="false" customHeight="true" outlineLevel="0" collapsed="false">
      <c r="A47" s="42" t="s">
        <v>155</v>
      </c>
      <c r="B47" s="43" t="s">
        <v>156</v>
      </c>
      <c r="C47" s="5" t="s">
        <v>26</v>
      </c>
      <c r="D47" s="6" t="n">
        <v>15</v>
      </c>
      <c r="E47" s="6" t="n">
        <v>36</v>
      </c>
      <c r="F47" s="6" t="n">
        <v>49</v>
      </c>
      <c r="G47" s="6" t="n">
        <v>32</v>
      </c>
      <c r="H47" s="6" t="n">
        <v>50</v>
      </c>
      <c r="I47" s="6" t="n">
        <v>195</v>
      </c>
      <c r="J47" s="6" t="n">
        <v>61</v>
      </c>
      <c r="K47" s="7" t="n">
        <f aca="false">SUM(D47:J47)</f>
        <v>438</v>
      </c>
    </row>
    <row r="48" customFormat="false" ht="15" hidden="false" customHeight="false" outlineLevel="0" collapsed="false">
      <c r="A48" s="42"/>
      <c r="B48" s="42"/>
      <c r="C48" s="44" t="s">
        <v>14</v>
      </c>
      <c r="D48" s="9" t="n">
        <v>33.8</v>
      </c>
      <c r="E48" s="9" t="n">
        <v>32.6</v>
      </c>
      <c r="F48" s="9" t="n">
        <v>35.6</v>
      </c>
      <c r="G48" s="9" t="n">
        <v>38.5</v>
      </c>
      <c r="H48" s="9" t="n">
        <v>42</v>
      </c>
      <c r="I48" s="9" t="n">
        <v>170.1</v>
      </c>
      <c r="J48" s="9" t="n">
        <v>82.4</v>
      </c>
      <c r="K48" s="10" t="n">
        <f aca="false">SUM(D48:J48)</f>
        <v>435</v>
      </c>
    </row>
    <row r="49" customFormat="false" ht="15" hidden="false" customHeight="false" outlineLevel="0" collapsed="false">
      <c r="A49" s="42"/>
      <c r="B49" s="42"/>
      <c r="C49" s="11" t="s">
        <v>41</v>
      </c>
      <c r="D49" s="14" t="n">
        <f aca="false">IFERROR((D48-D47)/D47,0)</f>
        <v>1.25333333333333</v>
      </c>
      <c r="E49" s="14" t="n">
        <f aca="false">IFERROR((E48-E47)/E47,0)</f>
        <v>-0.0944444444444444</v>
      </c>
      <c r="F49" s="14" t="n">
        <f aca="false">IFERROR((F48-F47)/F47,0)</f>
        <v>-0.273469387755102</v>
      </c>
      <c r="G49" s="14" t="n">
        <f aca="false">IFERROR((G48-G47)/G47,0)</f>
        <v>0.203125</v>
      </c>
      <c r="H49" s="14" t="n">
        <f aca="false">IFERROR((H48-H47)/H47,0)</f>
        <v>-0.16</v>
      </c>
      <c r="I49" s="14" t="n">
        <f aca="false">IFERROR((I48-I47)/I47,0)</f>
        <v>-0.127692307692308</v>
      </c>
      <c r="J49" s="14" t="n">
        <f aca="false">IFERROR((J48-J47)/J47,0)</f>
        <v>0.350819672131148</v>
      </c>
      <c r="K49" s="15" t="n">
        <f aca="false">IFERROR((SUM(D48:J48)-SUM(D47:J47))/SUM(D47:J47),0)</f>
        <v>-0.00684931506849315</v>
      </c>
    </row>
    <row r="50" customFormat="false" ht="15" hidden="false" customHeight="true" outlineLevel="0" collapsed="false">
      <c r="A50" s="42" t="s">
        <v>157</v>
      </c>
      <c r="B50" s="43" t="s">
        <v>158</v>
      </c>
      <c r="C50" s="5" t="s">
        <v>26</v>
      </c>
      <c r="D50" s="6" t="n">
        <v>40</v>
      </c>
      <c r="E50" s="6" t="n">
        <v>30</v>
      </c>
      <c r="F50" s="6" t="n">
        <v>18</v>
      </c>
      <c r="G50" s="6" t="n">
        <v>37</v>
      </c>
      <c r="H50" s="6" t="n">
        <v>58</v>
      </c>
      <c r="I50" s="6" t="n">
        <v>165</v>
      </c>
      <c r="J50" s="6" t="n">
        <v>56</v>
      </c>
      <c r="K50" s="7" t="n">
        <f aca="false">SUM(D50:J50)</f>
        <v>404</v>
      </c>
    </row>
    <row r="51" customFormat="false" ht="15" hidden="false" customHeight="false" outlineLevel="0" collapsed="false">
      <c r="A51" s="42"/>
      <c r="B51" s="42"/>
      <c r="C51" s="44" t="s">
        <v>14</v>
      </c>
      <c r="D51" s="9" t="n">
        <v>36.5</v>
      </c>
      <c r="E51" s="9" t="n">
        <v>38.8</v>
      </c>
      <c r="F51" s="9" t="n">
        <v>27.7</v>
      </c>
      <c r="G51" s="9" t="n">
        <v>29.5</v>
      </c>
      <c r="H51" s="9" t="n">
        <v>38.3</v>
      </c>
      <c r="I51" s="9" t="n">
        <v>133</v>
      </c>
      <c r="J51" s="9" t="n">
        <v>70.6</v>
      </c>
      <c r="K51" s="10" t="n">
        <f aca="false">SUM(D51:J51)</f>
        <v>374.4</v>
      </c>
    </row>
    <row r="52" customFormat="false" ht="15" hidden="false" customHeight="false" outlineLevel="0" collapsed="false">
      <c r="A52" s="42"/>
      <c r="B52" s="42"/>
      <c r="C52" s="11" t="s">
        <v>41</v>
      </c>
      <c r="D52" s="14" t="n">
        <f aca="false">IFERROR((D51-D50)/D50,0)</f>
        <v>-0.0875</v>
      </c>
      <c r="E52" s="14" t="n">
        <f aca="false">IFERROR((E51-E50)/E50,0)</f>
        <v>0.293333333333333</v>
      </c>
      <c r="F52" s="14" t="n">
        <f aca="false">IFERROR((F51-F50)/F50,0)</f>
        <v>0.538888888888889</v>
      </c>
      <c r="G52" s="14" t="n">
        <f aca="false">IFERROR((G51-G50)/G50,0)</f>
        <v>-0.202702702702703</v>
      </c>
      <c r="H52" s="14" t="n">
        <f aca="false">IFERROR((H51-H50)/H50,0)</f>
        <v>-0.339655172413793</v>
      </c>
      <c r="I52" s="14" t="n">
        <f aca="false">IFERROR((I51-I50)/I50,0)</f>
        <v>-0.193939393939394</v>
      </c>
      <c r="J52" s="14" t="n">
        <f aca="false">IFERROR((J51-J50)/J50,0)</f>
        <v>0.260714285714286</v>
      </c>
      <c r="K52" s="15" t="n">
        <f aca="false">IFERROR((SUM(D51:J51)-SUM(D50:J50))/SUM(D50:J50),0)</f>
        <v>-0.0732673267326733</v>
      </c>
    </row>
    <row r="53" customFormat="false" ht="15" hidden="false" customHeight="true" outlineLevel="0" collapsed="false">
      <c r="A53" s="42" t="s">
        <v>159</v>
      </c>
      <c r="B53" s="43" t="s">
        <v>160</v>
      </c>
      <c r="C53" s="5" t="s">
        <v>26</v>
      </c>
      <c r="D53" s="6" t="n">
        <v>38</v>
      </c>
      <c r="E53" s="6" t="n">
        <v>27</v>
      </c>
      <c r="F53" s="6" t="n">
        <v>29</v>
      </c>
      <c r="G53" s="6" t="n">
        <v>49</v>
      </c>
      <c r="H53" s="6" t="n">
        <v>57</v>
      </c>
      <c r="I53" s="6" t="n">
        <v>141</v>
      </c>
      <c r="J53" s="6" t="n">
        <v>60</v>
      </c>
      <c r="K53" s="7" t="n">
        <f aca="false">SUM(D53:J53)</f>
        <v>401</v>
      </c>
    </row>
    <row r="54" customFormat="false" ht="15" hidden="false" customHeight="false" outlineLevel="0" collapsed="false">
      <c r="A54" s="42"/>
      <c r="B54" s="42"/>
      <c r="C54" s="44" t="s">
        <v>14</v>
      </c>
      <c r="D54" s="9" t="n">
        <v>39.4</v>
      </c>
      <c r="E54" s="9" t="n">
        <v>44.9</v>
      </c>
      <c r="F54" s="9" t="n">
        <v>38.3</v>
      </c>
      <c r="G54" s="9" t="n">
        <v>52.7</v>
      </c>
      <c r="H54" s="9" t="n">
        <v>62.5</v>
      </c>
      <c r="I54" s="9" t="n">
        <v>150</v>
      </c>
      <c r="J54" s="9" t="n">
        <v>84.5</v>
      </c>
      <c r="K54" s="10" t="n">
        <f aca="false">SUM(D54:J54)</f>
        <v>472.3</v>
      </c>
    </row>
    <row r="55" customFormat="false" ht="15" hidden="false" customHeight="false" outlineLevel="0" collapsed="false">
      <c r="A55" s="42"/>
      <c r="B55" s="42"/>
      <c r="C55" s="11" t="s">
        <v>41</v>
      </c>
      <c r="D55" s="14" t="n">
        <f aca="false">IFERROR((D54-D53)/D53,0)</f>
        <v>0.0368421052631579</v>
      </c>
      <c r="E55" s="14" t="n">
        <f aca="false">IFERROR((E54-E53)/E53,0)</f>
        <v>0.662962962962963</v>
      </c>
      <c r="F55" s="14" t="n">
        <f aca="false">IFERROR((F54-F53)/F53,0)</f>
        <v>0.320689655172414</v>
      </c>
      <c r="G55" s="14" t="n">
        <f aca="false">IFERROR((G54-G53)/G53,0)</f>
        <v>0.0755102040816327</v>
      </c>
      <c r="H55" s="14" t="n">
        <f aca="false">IFERROR((H54-H53)/H53,0)</f>
        <v>0.0964912280701754</v>
      </c>
      <c r="I55" s="14" t="n">
        <f aca="false">IFERROR((I54-I53)/I53,0)</f>
        <v>0.0638297872340426</v>
      </c>
      <c r="J55" s="14" t="n">
        <f aca="false">IFERROR((J54-J53)/J53,0)</f>
        <v>0.408333333333333</v>
      </c>
      <c r="K55" s="15" t="n">
        <f aca="false">IFERROR((SUM(D54:J54)-SUM(D53:J53))/SUM(D53:J53),0)</f>
        <v>0.177805486284289</v>
      </c>
    </row>
    <row r="56" customFormat="false" ht="15" hidden="false" customHeight="true" outlineLevel="0" collapsed="false">
      <c r="A56" s="42" t="s">
        <v>161</v>
      </c>
      <c r="B56" s="43" t="s">
        <v>162</v>
      </c>
      <c r="C56" s="5" t="s">
        <v>26</v>
      </c>
      <c r="D56" s="6" t="n">
        <v>35</v>
      </c>
      <c r="E56" s="6" t="n">
        <v>30</v>
      </c>
      <c r="F56" s="6" t="n">
        <v>22</v>
      </c>
      <c r="G56" s="6" t="n">
        <v>47</v>
      </c>
      <c r="H56" s="6" t="n">
        <v>66</v>
      </c>
      <c r="I56" s="6" t="n">
        <v>142</v>
      </c>
      <c r="J56" s="6" t="n">
        <v>53</v>
      </c>
      <c r="K56" s="7" t="n">
        <f aca="false">SUM(D56:J56)</f>
        <v>395</v>
      </c>
    </row>
    <row r="57" customFormat="false" ht="15" hidden="false" customHeight="false" outlineLevel="0" collapsed="false">
      <c r="A57" s="42"/>
      <c r="B57" s="42"/>
      <c r="C57" s="44" t="s">
        <v>14</v>
      </c>
      <c r="D57" s="9" t="n">
        <v>27.8</v>
      </c>
      <c r="E57" s="9" t="n">
        <v>31.4</v>
      </c>
      <c r="F57" s="9" t="n">
        <v>29.8</v>
      </c>
      <c r="G57" s="9" t="n">
        <v>33</v>
      </c>
      <c r="H57" s="9" t="n">
        <v>39.8</v>
      </c>
      <c r="I57" s="9" t="n">
        <v>111.4</v>
      </c>
      <c r="J57" s="9" t="n">
        <v>55.3</v>
      </c>
      <c r="K57" s="10" t="n">
        <f aca="false">SUM(D57:J57)</f>
        <v>328.5</v>
      </c>
    </row>
    <row r="58" customFormat="false" ht="15" hidden="false" customHeight="false" outlineLevel="0" collapsed="false">
      <c r="A58" s="42"/>
      <c r="B58" s="42"/>
      <c r="C58" s="11" t="s">
        <v>41</v>
      </c>
      <c r="D58" s="14" t="n">
        <f aca="false">IFERROR((D57-D56)/D56,0)</f>
        <v>-0.205714285714286</v>
      </c>
      <c r="E58" s="14" t="n">
        <f aca="false">IFERROR((E57-E56)/E56,0)</f>
        <v>0.0466666666666666</v>
      </c>
      <c r="F58" s="14" t="n">
        <f aca="false">IFERROR((F57-F56)/F56,0)</f>
        <v>0.354545454545455</v>
      </c>
      <c r="G58" s="14" t="n">
        <f aca="false">IFERROR((G57-G56)/G56,0)</f>
        <v>-0.297872340425532</v>
      </c>
      <c r="H58" s="14" t="n">
        <f aca="false">IFERROR((H57-H56)/H56,0)</f>
        <v>-0.396969696969697</v>
      </c>
      <c r="I58" s="14" t="n">
        <f aca="false">IFERROR((I57-I56)/I56,0)</f>
        <v>-0.215492957746479</v>
      </c>
      <c r="J58" s="14" t="n">
        <f aca="false">IFERROR((J57-J56)/J56,0)</f>
        <v>0.0433962264150943</v>
      </c>
      <c r="K58" s="15" t="n">
        <f aca="false">IFERROR((SUM(D57:J57)-SUM(D56:J56))/SUM(D56:J56),0)</f>
        <v>-0.168354430379747</v>
      </c>
    </row>
    <row r="59" customFormat="false" ht="15" hidden="false" customHeight="true" outlineLevel="0" collapsed="false">
      <c r="A59" s="42" t="s">
        <v>163</v>
      </c>
      <c r="B59" s="43" t="s">
        <v>164</v>
      </c>
      <c r="C59" s="5" t="s">
        <v>26</v>
      </c>
      <c r="D59" s="6" t="n">
        <v>34</v>
      </c>
      <c r="E59" s="6" t="n">
        <v>33</v>
      </c>
      <c r="F59" s="6" t="n">
        <v>31</v>
      </c>
      <c r="G59" s="6" t="n">
        <v>52</v>
      </c>
      <c r="H59" s="6" t="n">
        <v>67</v>
      </c>
      <c r="I59" s="6" t="n">
        <v>125</v>
      </c>
      <c r="J59" s="6" t="n">
        <v>51</v>
      </c>
      <c r="K59" s="7" t="n">
        <f aca="false">SUM(D59:J59)</f>
        <v>393</v>
      </c>
    </row>
    <row r="60" customFormat="false" ht="15" hidden="false" customHeight="false" outlineLevel="0" collapsed="false">
      <c r="A60" s="42"/>
      <c r="B60" s="42"/>
      <c r="C60" s="44" t="s">
        <v>14</v>
      </c>
      <c r="D60" s="9" t="n">
        <v>34.2</v>
      </c>
      <c r="E60" s="9" t="n">
        <v>41.6</v>
      </c>
      <c r="F60" s="9" t="n">
        <v>40.6</v>
      </c>
      <c r="G60" s="9" t="n">
        <v>44.1</v>
      </c>
      <c r="H60" s="9" t="n">
        <v>44.8</v>
      </c>
      <c r="I60" s="9" t="n">
        <v>132.5</v>
      </c>
      <c r="J60" s="9" t="n">
        <v>77.3</v>
      </c>
      <c r="K60" s="10" t="n">
        <f aca="false">SUM(D60:J60)</f>
        <v>415.1</v>
      </c>
    </row>
    <row r="61" customFormat="false" ht="15" hidden="false" customHeight="false" outlineLevel="0" collapsed="false">
      <c r="A61" s="42"/>
      <c r="B61" s="42"/>
      <c r="C61" s="11" t="s">
        <v>41</v>
      </c>
      <c r="D61" s="14" t="n">
        <f aca="false">IFERROR((D60-D59)/D59,0)</f>
        <v>0.00588235294117655</v>
      </c>
      <c r="E61" s="14" t="n">
        <f aca="false">IFERROR((E60-E59)/E59,0)</f>
        <v>0.260606060606061</v>
      </c>
      <c r="F61" s="14" t="n">
        <f aca="false">IFERROR((F60-F59)/F59,0)</f>
        <v>0.309677419354839</v>
      </c>
      <c r="G61" s="14" t="n">
        <f aca="false">IFERROR((G60-G59)/G59,0)</f>
        <v>-0.151923076923077</v>
      </c>
      <c r="H61" s="14" t="n">
        <f aca="false">IFERROR((H60-H59)/H59,0)</f>
        <v>-0.33134328358209</v>
      </c>
      <c r="I61" s="14" t="n">
        <f aca="false">IFERROR((I60-I59)/I59,0)</f>
        <v>0.06</v>
      </c>
      <c r="J61" s="14" t="n">
        <f aca="false">IFERROR((J60-J59)/J59,0)</f>
        <v>0.515686274509804</v>
      </c>
      <c r="K61" s="15" t="n">
        <f aca="false">IFERROR((SUM(D60:J60)-SUM(D59:J59))/SUM(D59:J59),0)</f>
        <v>0.056234096692112</v>
      </c>
    </row>
    <row r="62" customFormat="false" ht="15" hidden="false" customHeight="true" outlineLevel="0" collapsed="false">
      <c r="A62" s="42" t="s">
        <v>165</v>
      </c>
      <c r="B62" s="43" t="s">
        <v>166</v>
      </c>
      <c r="C62" s="5" t="s">
        <v>26</v>
      </c>
      <c r="D62" s="6" t="n">
        <v>30</v>
      </c>
      <c r="E62" s="6" t="n">
        <v>45</v>
      </c>
      <c r="F62" s="6" t="n">
        <v>36</v>
      </c>
      <c r="G62" s="6" t="n">
        <v>52</v>
      </c>
      <c r="H62" s="6" t="n">
        <v>72</v>
      </c>
      <c r="I62" s="6" t="n">
        <v>102</v>
      </c>
      <c r="J62" s="6" t="n">
        <v>54</v>
      </c>
      <c r="K62" s="7" t="n">
        <f aca="false">SUM(D62:J62)</f>
        <v>391</v>
      </c>
    </row>
    <row r="63" customFormat="false" ht="15" hidden="false" customHeight="false" outlineLevel="0" collapsed="false">
      <c r="A63" s="42"/>
      <c r="B63" s="42"/>
      <c r="C63" s="44" t="s">
        <v>14</v>
      </c>
      <c r="D63" s="9" t="n">
        <v>41.6</v>
      </c>
      <c r="E63" s="9" t="n">
        <v>38.6</v>
      </c>
      <c r="F63" s="9" t="n">
        <v>42.7</v>
      </c>
      <c r="G63" s="9" t="n">
        <v>48.7</v>
      </c>
      <c r="H63" s="9" t="n">
        <v>49.2</v>
      </c>
      <c r="I63" s="9" t="n">
        <v>139.4</v>
      </c>
      <c r="J63" s="9" t="n">
        <v>60.6</v>
      </c>
      <c r="K63" s="10" t="n">
        <f aca="false">SUM(D63:J63)</f>
        <v>420.8</v>
      </c>
    </row>
    <row r="64" customFormat="false" ht="15" hidden="false" customHeight="false" outlineLevel="0" collapsed="false">
      <c r="A64" s="42"/>
      <c r="B64" s="42"/>
      <c r="C64" s="11" t="s">
        <v>41</v>
      </c>
      <c r="D64" s="14" t="n">
        <f aca="false">IFERROR((D63-D62)/D62,0)</f>
        <v>0.386666666666667</v>
      </c>
      <c r="E64" s="14" t="n">
        <f aca="false">IFERROR((E63-E62)/E62,0)</f>
        <v>-0.142222222222222</v>
      </c>
      <c r="F64" s="14" t="n">
        <f aca="false">IFERROR((F63-F62)/F62,0)</f>
        <v>0.186111111111111</v>
      </c>
      <c r="G64" s="14" t="n">
        <f aca="false">IFERROR((G63-G62)/G62,0)</f>
        <v>-0.0634615384615384</v>
      </c>
      <c r="H64" s="14" t="n">
        <f aca="false">IFERROR((H63-H62)/H62,0)</f>
        <v>-0.316666666666667</v>
      </c>
      <c r="I64" s="14" t="n">
        <f aca="false">IFERROR((I63-I62)/I62,0)</f>
        <v>0.366666666666667</v>
      </c>
      <c r="J64" s="14" t="n">
        <f aca="false">IFERROR((J63-J62)/J62,0)</f>
        <v>0.122222222222222</v>
      </c>
      <c r="K64" s="15" t="n">
        <f aca="false">IFERROR((SUM(D63:J63)-SUM(D62:J62))/SUM(D62:J62),0)</f>
        <v>0.076214833759591</v>
      </c>
    </row>
    <row r="65" customFormat="false" ht="15" hidden="false" customHeight="true" outlineLevel="0" collapsed="false">
      <c r="A65" s="42" t="s">
        <v>167</v>
      </c>
      <c r="B65" s="43" t="s">
        <v>168</v>
      </c>
      <c r="C65" s="5" t="s">
        <v>26</v>
      </c>
      <c r="D65" s="6" t="n">
        <v>26</v>
      </c>
      <c r="E65" s="6" t="n">
        <v>48</v>
      </c>
      <c r="F65" s="6" t="n">
        <v>32</v>
      </c>
      <c r="G65" s="6" t="n">
        <v>112</v>
      </c>
      <c r="H65" s="6" t="n">
        <v>31</v>
      </c>
      <c r="I65" s="6" t="n">
        <v>98</v>
      </c>
      <c r="J65" s="6" t="n">
        <v>42</v>
      </c>
      <c r="K65" s="7" t="n">
        <f aca="false">SUM(D65:J65)</f>
        <v>389</v>
      </c>
    </row>
    <row r="66" customFormat="false" ht="15" hidden="false" customHeight="false" outlineLevel="0" collapsed="false">
      <c r="A66" s="42"/>
      <c r="B66" s="42"/>
      <c r="C66" s="44" t="s">
        <v>14</v>
      </c>
      <c r="D66" s="9" t="n">
        <v>36.7</v>
      </c>
      <c r="E66" s="9" t="n">
        <v>33.7</v>
      </c>
      <c r="F66" s="9" t="n">
        <v>36.5</v>
      </c>
      <c r="G66" s="9" t="n">
        <v>48.2</v>
      </c>
      <c r="H66" s="9" t="n">
        <v>30.1</v>
      </c>
      <c r="I66" s="9" t="n">
        <v>97.3</v>
      </c>
      <c r="J66" s="9" t="n">
        <v>63.4</v>
      </c>
      <c r="K66" s="10" t="n">
        <f aca="false">SUM(D66:J66)</f>
        <v>345.9</v>
      </c>
    </row>
    <row r="67" customFormat="false" ht="15" hidden="false" customHeight="false" outlineLevel="0" collapsed="false">
      <c r="A67" s="42"/>
      <c r="B67" s="42"/>
      <c r="C67" s="11" t="s">
        <v>41</v>
      </c>
      <c r="D67" s="14" t="n">
        <f aca="false">IFERROR((D66-D65)/D65,0)</f>
        <v>0.411538461538462</v>
      </c>
      <c r="E67" s="14" t="n">
        <f aca="false">IFERROR((E66-E65)/E65,0)</f>
        <v>-0.297916666666667</v>
      </c>
      <c r="F67" s="14" t="n">
        <f aca="false">IFERROR((F66-F65)/F65,0)</f>
        <v>0.140625</v>
      </c>
      <c r="G67" s="14" t="n">
        <f aca="false">IFERROR((G66-G65)/G65,0)</f>
        <v>-0.569642857142857</v>
      </c>
      <c r="H67" s="14" t="n">
        <f aca="false">IFERROR((H66-H65)/H65,0)</f>
        <v>-0.0290322580645161</v>
      </c>
      <c r="I67" s="14" t="n">
        <f aca="false">IFERROR((I66-I65)/I65,0)</f>
        <v>-0.00714285714285717</v>
      </c>
      <c r="J67" s="14" t="n">
        <f aca="false">IFERROR((J66-J65)/J65,0)</f>
        <v>0.50952380952381</v>
      </c>
      <c r="K67" s="15" t="n">
        <f aca="false">IFERROR((SUM(D66:J66)-SUM(D65:J65))/SUM(D65:J65),0)</f>
        <v>-0.110796915167095</v>
      </c>
    </row>
    <row r="68" customFormat="false" ht="15" hidden="false" customHeight="true" outlineLevel="0" collapsed="false">
      <c r="A68" s="42" t="s">
        <v>169</v>
      </c>
      <c r="B68" s="43" t="s">
        <v>170</v>
      </c>
      <c r="C68" s="5" t="s">
        <v>26</v>
      </c>
      <c r="D68" s="6" t="n">
        <v>57</v>
      </c>
      <c r="E68" s="6" t="n">
        <v>60</v>
      </c>
      <c r="F68" s="6" t="n">
        <v>38</v>
      </c>
      <c r="G68" s="6" t="n">
        <v>68</v>
      </c>
      <c r="H68" s="6" t="n">
        <v>65</v>
      </c>
      <c r="I68" s="6" t="n">
        <v>68</v>
      </c>
      <c r="J68" s="6" t="n">
        <v>26</v>
      </c>
      <c r="K68" s="7" t="n">
        <f aca="false">SUM(D68:J68)</f>
        <v>382</v>
      </c>
    </row>
    <row r="69" customFormat="false" ht="15" hidden="false" customHeight="false" outlineLevel="0" collapsed="false">
      <c r="A69" s="42"/>
      <c r="B69" s="42"/>
      <c r="C69" s="44" t="s">
        <v>14</v>
      </c>
      <c r="D69" s="9" t="n">
        <v>63.8</v>
      </c>
      <c r="E69" s="9" t="n">
        <v>57.5</v>
      </c>
      <c r="F69" s="9" t="n">
        <v>53.2</v>
      </c>
      <c r="G69" s="9" t="n">
        <v>48.3</v>
      </c>
      <c r="H69" s="9" t="n">
        <v>46.5</v>
      </c>
      <c r="I69" s="9" t="n">
        <v>93.1</v>
      </c>
      <c r="J69" s="9" t="n">
        <v>46.1</v>
      </c>
      <c r="K69" s="10" t="n">
        <f aca="false">SUM(D69:J69)</f>
        <v>408.5</v>
      </c>
    </row>
    <row r="70" customFormat="false" ht="15" hidden="false" customHeight="false" outlineLevel="0" collapsed="false">
      <c r="A70" s="42"/>
      <c r="B70" s="42"/>
      <c r="C70" s="11" t="s">
        <v>41</v>
      </c>
      <c r="D70" s="14" t="n">
        <f aca="false">IFERROR((D69-D68)/D68,0)</f>
        <v>0.119298245614035</v>
      </c>
      <c r="E70" s="14" t="n">
        <f aca="false">IFERROR((E69-E68)/E68,0)</f>
        <v>-0.0416666666666667</v>
      </c>
      <c r="F70" s="14" t="n">
        <f aca="false">IFERROR((F69-F68)/F68,0)</f>
        <v>0.4</v>
      </c>
      <c r="G70" s="14" t="n">
        <f aca="false">IFERROR((G69-G68)/G68,0)</f>
        <v>-0.289705882352941</v>
      </c>
      <c r="H70" s="14" t="n">
        <f aca="false">IFERROR((H69-H68)/H68,0)</f>
        <v>-0.284615384615385</v>
      </c>
      <c r="I70" s="14" t="n">
        <f aca="false">IFERROR((I69-I68)/I68,0)</f>
        <v>0.369117647058823</v>
      </c>
      <c r="J70" s="14" t="n">
        <f aca="false">IFERROR((J69-J68)/J68,0)</f>
        <v>0.773076923076923</v>
      </c>
      <c r="K70" s="15" t="n">
        <f aca="false">IFERROR((SUM(D69:J69)-SUM(D68:J68))/SUM(D68:J68),0)</f>
        <v>0.0693717277486911</v>
      </c>
    </row>
    <row r="71" customFormat="false" ht="15" hidden="false" customHeight="true" outlineLevel="0" collapsed="false">
      <c r="A71" s="42" t="s">
        <v>171</v>
      </c>
      <c r="B71" s="43" t="s">
        <v>172</v>
      </c>
      <c r="C71" s="5" t="s">
        <v>26</v>
      </c>
      <c r="D71" s="6" t="n">
        <v>43</v>
      </c>
      <c r="E71" s="6" t="n">
        <v>45</v>
      </c>
      <c r="F71" s="6" t="n">
        <v>33</v>
      </c>
      <c r="G71" s="6" t="n">
        <v>58</v>
      </c>
      <c r="H71" s="6" t="n">
        <v>62</v>
      </c>
      <c r="I71" s="6" t="n">
        <v>105</v>
      </c>
      <c r="J71" s="6" t="n">
        <v>25</v>
      </c>
      <c r="K71" s="7" t="n">
        <f aca="false">SUM(D71:J71)</f>
        <v>371</v>
      </c>
    </row>
    <row r="72" customFormat="false" ht="15" hidden="false" customHeight="false" outlineLevel="0" collapsed="false">
      <c r="A72" s="42"/>
      <c r="B72" s="42"/>
      <c r="C72" s="44" t="s">
        <v>14</v>
      </c>
      <c r="D72" s="9" t="n">
        <v>48.9</v>
      </c>
      <c r="E72" s="9" t="n">
        <v>44.9</v>
      </c>
      <c r="F72" s="9" t="n">
        <v>47.5</v>
      </c>
      <c r="G72" s="9" t="n">
        <v>52.6</v>
      </c>
      <c r="H72" s="9" t="n">
        <v>53</v>
      </c>
      <c r="I72" s="9" t="n">
        <v>133.9</v>
      </c>
      <c r="J72" s="9" t="n">
        <v>57.7</v>
      </c>
      <c r="K72" s="10" t="n">
        <f aca="false">SUM(D72:J72)</f>
        <v>438.5</v>
      </c>
    </row>
    <row r="73" customFormat="false" ht="15" hidden="false" customHeight="false" outlineLevel="0" collapsed="false">
      <c r="A73" s="42"/>
      <c r="B73" s="42"/>
      <c r="C73" s="11" t="s">
        <v>41</v>
      </c>
      <c r="D73" s="14" t="n">
        <f aca="false">IFERROR((D72-D71)/D71,0)</f>
        <v>0.137209302325581</v>
      </c>
      <c r="E73" s="14" t="n">
        <f aca="false">IFERROR((E72-E71)/E71,0)</f>
        <v>-0.00222222222222225</v>
      </c>
      <c r="F73" s="14" t="n">
        <f aca="false">IFERROR((F72-F71)/F71,0)</f>
        <v>0.439393939393939</v>
      </c>
      <c r="G73" s="14" t="n">
        <f aca="false">IFERROR((G72-G71)/G71,0)</f>
        <v>-0.0931034482758621</v>
      </c>
      <c r="H73" s="14" t="n">
        <f aca="false">IFERROR((H72-H71)/H71,0)</f>
        <v>-0.145161290322581</v>
      </c>
      <c r="I73" s="14" t="n">
        <f aca="false">IFERROR((I72-I71)/I71,0)</f>
        <v>0.275238095238095</v>
      </c>
      <c r="J73" s="14" t="n">
        <f aca="false">IFERROR((J72-J71)/J71,0)</f>
        <v>1.308</v>
      </c>
      <c r="K73" s="15" t="n">
        <f aca="false">IFERROR((SUM(D72:J72)-SUM(D71:J71))/SUM(D71:J71),0)</f>
        <v>0.181940700808625</v>
      </c>
    </row>
    <row r="74" customFormat="false" ht="15" hidden="false" customHeight="true" outlineLevel="0" collapsed="false">
      <c r="A74" s="42" t="s">
        <v>173</v>
      </c>
      <c r="B74" s="43" t="s">
        <v>174</v>
      </c>
      <c r="C74" s="5" t="s">
        <v>26</v>
      </c>
      <c r="D74" s="6" t="n">
        <v>38</v>
      </c>
      <c r="E74" s="6" t="n">
        <v>35</v>
      </c>
      <c r="F74" s="6" t="n">
        <v>35</v>
      </c>
      <c r="G74" s="6" t="n">
        <v>124</v>
      </c>
      <c r="H74" s="6" t="n">
        <v>24</v>
      </c>
      <c r="I74" s="6" t="n">
        <v>80</v>
      </c>
      <c r="J74" s="6" t="n">
        <v>29</v>
      </c>
      <c r="K74" s="7" t="n">
        <f aca="false">SUM(D74:J74)</f>
        <v>365</v>
      </c>
    </row>
    <row r="75" customFormat="false" ht="15" hidden="false" customHeight="false" outlineLevel="0" collapsed="false">
      <c r="A75" s="42"/>
      <c r="B75" s="42"/>
      <c r="C75" s="44" t="s">
        <v>14</v>
      </c>
      <c r="D75" s="9" t="n">
        <v>40.5</v>
      </c>
      <c r="E75" s="9" t="n">
        <v>41.5</v>
      </c>
      <c r="F75" s="9" t="n">
        <v>34.1</v>
      </c>
      <c r="G75" s="9" t="n">
        <v>47.7</v>
      </c>
      <c r="H75" s="9" t="n">
        <v>28.9</v>
      </c>
      <c r="I75" s="9" t="n">
        <v>94.9</v>
      </c>
      <c r="J75" s="9" t="n">
        <v>60.9</v>
      </c>
      <c r="K75" s="10" t="n">
        <f aca="false">SUM(D75:J75)</f>
        <v>348.5</v>
      </c>
    </row>
    <row r="76" customFormat="false" ht="15" hidden="false" customHeight="false" outlineLevel="0" collapsed="false">
      <c r="A76" s="42"/>
      <c r="B76" s="42"/>
      <c r="C76" s="11" t="s">
        <v>41</v>
      </c>
      <c r="D76" s="14" t="n">
        <f aca="false">IFERROR((D75-D74)/D74,0)</f>
        <v>0.0657894736842105</v>
      </c>
      <c r="E76" s="14" t="n">
        <f aca="false">IFERROR((E75-E74)/E74,0)</f>
        <v>0.185714285714286</v>
      </c>
      <c r="F76" s="14" t="n">
        <f aca="false">IFERROR((F75-F74)/F74,0)</f>
        <v>-0.0257142857142857</v>
      </c>
      <c r="G76" s="14" t="n">
        <f aca="false">IFERROR((G75-G74)/G74,0)</f>
        <v>-0.615322580645161</v>
      </c>
      <c r="H76" s="14" t="n">
        <f aca="false">IFERROR((H75-H74)/H74,0)</f>
        <v>0.204166666666667</v>
      </c>
      <c r="I76" s="14" t="n">
        <f aca="false">IFERROR((I75-I74)/I74,0)</f>
        <v>0.18625</v>
      </c>
      <c r="J76" s="14" t="n">
        <f aca="false">IFERROR((J75-J74)/J74,0)</f>
        <v>1.1</v>
      </c>
      <c r="K76" s="15" t="n">
        <f aca="false">IFERROR((SUM(D75:J75)-SUM(D74:J74))/SUM(D74:J74),0)</f>
        <v>-0.0452054794520548</v>
      </c>
    </row>
    <row r="77" customFormat="false" ht="15" hidden="false" customHeight="true" outlineLevel="0" collapsed="false">
      <c r="A77" s="42" t="s">
        <v>175</v>
      </c>
      <c r="B77" s="43" t="s">
        <v>176</v>
      </c>
      <c r="C77" s="5" t="s">
        <v>26</v>
      </c>
      <c r="D77" s="6" t="n">
        <v>39</v>
      </c>
      <c r="E77" s="6" t="n">
        <v>32</v>
      </c>
      <c r="F77" s="6" t="n">
        <v>18</v>
      </c>
      <c r="G77" s="6" t="n">
        <v>30</v>
      </c>
      <c r="H77" s="6" t="n">
        <v>65</v>
      </c>
      <c r="I77" s="6" t="n">
        <v>130</v>
      </c>
      <c r="J77" s="6" t="n">
        <v>45</v>
      </c>
      <c r="K77" s="7" t="n">
        <f aca="false">SUM(D77:J77)</f>
        <v>359</v>
      </c>
    </row>
    <row r="78" customFormat="false" ht="15" hidden="false" customHeight="false" outlineLevel="0" collapsed="false">
      <c r="A78" s="42"/>
      <c r="B78" s="42"/>
      <c r="C78" s="44" t="s">
        <v>14</v>
      </c>
      <c r="D78" s="9" t="n">
        <v>28.8</v>
      </c>
      <c r="E78" s="9" t="n">
        <v>33.2</v>
      </c>
      <c r="F78" s="9" t="n">
        <v>20.6</v>
      </c>
      <c r="G78" s="9" t="n">
        <v>28.8</v>
      </c>
      <c r="H78" s="9" t="n">
        <v>33.7</v>
      </c>
      <c r="I78" s="9" t="n">
        <v>93</v>
      </c>
      <c r="J78" s="9" t="n">
        <v>47.2</v>
      </c>
      <c r="K78" s="10" t="n">
        <f aca="false">SUM(D78:J78)</f>
        <v>285.3</v>
      </c>
    </row>
    <row r="79" customFormat="false" ht="15" hidden="false" customHeight="false" outlineLevel="0" collapsed="false">
      <c r="A79" s="42"/>
      <c r="B79" s="42"/>
      <c r="C79" s="11" t="s">
        <v>41</v>
      </c>
      <c r="D79" s="14" t="n">
        <f aca="false">IFERROR((D78-D77)/D77,0)</f>
        <v>-0.261538461538462</v>
      </c>
      <c r="E79" s="14" t="n">
        <f aca="false">IFERROR((E78-E77)/E77,0)</f>
        <v>0.0375000000000001</v>
      </c>
      <c r="F79" s="14" t="n">
        <f aca="false">IFERROR((F78-F77)/F77,0)</f>
        <v>0.144444444444445</v>
      </c>
      <c r="G79" s="14" t="n">
        <f aca="false">IFERROR((G78-G77)/G77,0)</f>
        <v>-0.04</v>
      </c>
      <c r="H79" s="14" t="n">
        <f aca="false">IFERROR((H78-H77)/H77,0)</f>
        <v>-0.481538461538461</v>
      </c>
      <c r="I79" s="14" t="n">
        <f aca="false">IFERROR((I78-I77)/I77,0)</f>
        <v>-0.284615384615385</v>
      </c>
      <c r="J79" s="14" t="n">
        <f aca="false">IFERROR((J78-J77)/J77,0)</f>
        <v>0.048888888888889</v>
      </c>
      <c r="K79" s="15" t="n">
        <f aca="false">IFERROR((SUM(D78:J78)-SUM(D77:J77))/SUM(D77:J77),0)</f>
        <v>-0.205292479108635</v>
      </c>
    </row>
    <row r="80" customFormat="false" ht="15" hidden="false" customHeight="true" outlineLevel="0" collapsed="false">
      <c r="A80" s="42" t="s">
        <v>177</v>
      </c>
      <c r="B80" s="43" t="s">
        <v>178</v>
      </c>
      <c r="C80" s="5" t="s">
        <v>26</v>
      </c>
      <c r="D80" s="6" t="n">
        <v>24</v>
      </c>
      <c r="E80" s="6" t="n">
        <v>35</v>
      </c>
      <c r="F80" s="6" t="n">
        <v>30</v>
      </c>
      <c r="G80" s="6" t="n">
        <v>40</v>
      </c>
      <c r="H80" s="6" t="n">
        <v>45</v>
      </c>
      <c r="I80" s="6" t="n">
        <v>116</v>
      </c>
      <c r="J80" s="6" t="n">
        <v>56</v>
      </c>
      <c r="K80" s="7" t="n">
        <f aca="false">SUM(D80:J80)</f>
        <v>346</v>
      </c>
    </row>
    <row r="81" customFormat="false" ht="15" hidden="false" customHeight="false" outlineLevel="0" collapsed="false">
      <c r="A81" s="42"/>
      <c r="B81" s="42"/>
      <c r="C81" s="44" t="s">
        <v>14</v>
      </c>
      <c r="D81" s="9" t="n">
        <v>31.6</v>
      </c>
      <c r="E81" s="9" t="n">
        <v>32.6</v>
      </c>
      <c r="F81" s="9" t="n">
        <v>32.1</v>
      </c>
      <c r="G81" s="9" t="n">
        <v>27.9</v>
      </c>
      <c r="H81" s="9" t="n">
        <v>40.7</v>
      </c>
      <c r="I81" s="9" t="n">
        <v>98.7</v>
      </c>
      <c r="J81" s="9" t="n">
        <v>54.3</v>
      </c>
      <c r="K81" s="10" t="n">
        <f aca="false">SUM(D81:J81)</f>
        <v>317.9</v>
      </c>
    </row>
    <row r="82" customFormat="false" ht="15" hidden="false" customHeight="false" outlineLevel="0" collapsed="false">
      <c r="A82" s="42"/>
      <c r="B82" s="42"/>
      <c r="C82" s="11" t="s">
        <v>41</v>
      </c>
      <c r="D82" s="14" t="n">
        <f aca="false">IFERROR((D81-D80)/D80,0)</f>
        <v>0.316666666666667</v>
      </c>
      <c r="E82" s="14" t="n">
        <f aca="false">IFERROR((E81-E80)/E80,0)</f>
        <v>-0.0685714285714285</v>
      </c>
      <c r="F82" s="14" t="n">
        <f aca="false">IFERROR((F81-F80)/F80,0)</f>
        <v>0.0700000000000001</v>
      </c>
      <c r="G82" s="14" t="n">
        <f aca="false">IFERROR((G81-G80)/G80,0)</f>
        <v>-0.3025</v>
      </c>
      <c r="H82" s="14" t="n">
        <f aca="false">IFERROR((H81-H80)/H80,0)</f>
        <v>-0.0955555555555555</v>
      </c>
      <c r="I82" s="14" t="n">
        <f aca="false">IFERROR((I81-I80)/I80,0)</f>
        <v>-0.149137931034483</v>
      </c>
      <c r="J82" s="14" t="n">
        <f aca="false">IFERROR((J81-J80)/J80,0)</f>
        <v>-0.0303571428571429</v>
      </c>
      <c r="K82" s="15" t="n">
        <f aca="false">IFERROR((SUM(D81:J81)-SUM(D80:J80))/SUM(D80:J80),0)</f>
        <v>-0.0812138728323699</v>
      </c>
    </row>
    <row r="83" customFormat="false" ht="15" hidden="false" customHeight="true" outlineLevel="0" collapsed="false">
      <c r="A83" s="42" t="s">
        <v>179</v>
      </c>
      <c r="B83" s="43" t="s">
        <v>180</v>
      </c>
      <c r="C83" s="5" t="s">
        <v>26</v>
      </c>
      <c r="D83" s="6" t="n">
        <v>32</v>
      </c>
      <c r="E83" s="6" t="n">
        <v>26</v>
      </c>
      <c r="F83" s="6" t="n">
        <v>22</v>
      </c>
      <c r="G83" s="6" t="n">
        <v>37</v>
      </c>
      <c r="H83" s="6" t="n">
        <v>53</v>
      </c>
      <c r="I83" s="6" t="n">
        <v>112</v>
      </c>
      <c r="J83" s="6" t="n">
        <v>56</v>
      </c>
      <c r="K83" s="7" t="n">
        <f aca="false">SUM(D83:J83)</f>
        <v>338</v>
      </c>
    </row>
    <row r="84" customFormat="false" ht="15" hidden="false" customHeight="false" outlineLevel="0" collapsed="false">
      <c r="A84" s="42"/>
      <c r="B84" s="42"/>
      <c r="C84" s="44" t="s">
        <v>14</v>
      </c>
      <c r="D84" s="9" t="n">
        <v>39.2</v>
      </c>
      <c r="E84" s="9" t="n">
        <v>35.1</v>
      </c>
      <c r="F84" s="9" t="n">
        <v>31.6</v>
      </c>
      <c r="G84" s="9" t="n">
        <v>38.3</v>
      </c>
      <c r="H84" s="9" t="n">
        <v>42.5</v>
      </c>
      <c r="I84" s="9" t="n">
        <v>100.5</v>
      </c>
      <c r="J84" s="9" t="n">
        <v>67.5</v>
      </c>
      <c r="K84" s="10" t="n">
        <f aca="false">SUM(D84:J84)</f>
        <v>354.7</v>
      </c>
    </row>
    <row r="85" customFormat="false" ht="15" hidden="false" customHeight="false" outlineLevel="0" collapsed="false">
      <c r="A85" s="42"/>
      <c r="B85" s="42"/>
      <c r="C85" s="11" t="s">
        <v>41</v>
      </c>
      <c r="D85" s="14" t="n">
        <f aca="false">IFERROR((D84-D83)/D83,0)</f>
        <v>0.225</v>
      </c>
      <c r="E85" s="14" t="n">
        <f aca="false">IFERROR((E84-E83)/E83,0)</f>
        <v>0.35</v>
      </c>
      <c r="F85" s="14" t="n">
        <f aca="false">IFERROR((F84-F83)/F83,0)</f>
        <v>0.436363636363636</v>
      </c>
      <c r="G85" s="14" t="n">
        <f aca="false">IFERROR((G84-G83)/G83,0)</f>
        <v>0.0351351351351351</v>
      </c>
      <c r="H85" s="14" t="n">
        <f aca="false">IFERROR((H84-H83)/H83,0)</f>
        <v>-0.19811320754717</v>
      </c>
      <c r="I85" s="14" t="n">
        <f aca="false">IFERROR((I84-I83)/I83,0)</f>
        <v>-0.102678571428571</v>
      </c>
      <c r="J85" s="14" t="n">
        <f aca="false">IFERROR((J84-J83)/J83,0)</f>
        <v>0.205357142857143</v>
      </c>
      <c r="K85" s="15" t="n">
        <f aca="false">IFERROR((SUM(D84:J84)-SUM(D83:J83))/SUM(D83:J83),0)</f>
        <v>0.0494082840236686</v>
      </c>
    </row>
    <row r="86" customFormat="false" ht="15" hidden="false" customHeight="true" outlineLevel="0" collapsed="false">
      <c r="A86" s="42" t="s">
        <v>181</v>
      </c>
      <c r="B86" s="43" t="s">
        <v>142</v>
      </c>
      <c r="C86" s="5" t="s">
        <v>26</v>
      </c>
      <c r="D86" s="6" t="n">
        <v>26</v>
      </c>
      <c r="E86" s="6" t="n">
        <v>29</v>
      </c>
      <c r="F86" s="6" t="n">
        <v>38</v>
      </c>
      <c r="G86" s="6" t="n">
        <v>36</v>
      </c>
      <c r="H86" s="6" t="n">
        <v>62</v>
      </c>
      <c r="I86" s="6" t="n">
        <v>90</v>
      </c>
      <c r="J86" s="6" t="n">
        <v>52</v>
      </c>
      <c r="K86" s="7" t="n">
        <f aca="false">SUM(D86:J86)</f>
        <v>333</v>
      </c>
    </row>
    <row r="87" customFormat="false" ht="15" hidden="false" customHeight="false" outlineLevel="0" collapsed="false">
      <c r="A87" s="42"/>
      <c r="B87" s="42"/>
      <c r="C87" s="44" t="s">
        <v>14</v>
      </c>
      <c r="D87" s="9" t="n">
        <v>65.7</v>
      </c>
      <c r="E87" s="9" t="n">
        <v>45</v>
      </c>
      <c r="F87" s="9" t="n">
        <v>42.7</v>
      </c>
      <c r="G87" s="9" t="n">
        <v>49.3</v>
      </c>
      <c r="H87" s="9" t="n">
        <v>42.5</v>
      </c>
      <c r="I87" s="9" t="n">
        <v>99.6</v>
      </c>
      <c r="J87" s="9" t="n">
        <v>50.7</v>
      </c>
      <c r="K87" s="10" t="n">
        <f aca="false">SUM(D87:J87)</f>
        <v>395.5</v>
      </c>
    </row>
    <row r="88" customFormat="false" ht="15" hidden="false" customHeight="false" outlineLevel="0" collapsed="false">
      <c r="A88" s="42"/>
      <c r="B88" s="42"/>
      <c r="C88" s="11" t="s">
        <v>41</v>
      </c>
      <c r="D88" s="14" t="n">
        <f aca="false">IFERROR((D87-D86)/D86,0)</f>
        <v>1.52692307692308</v>
      </c>
      <c r="E88" s="14" t="n">
        <f aca="false">IFERROR((E87-E86)/E86,0)</f>
        <v>0.551724137931035</v>
      </c>
      <c r="F88" s="14" t="n">
        <f aca="false">IFERROR((F87-F86)/F86,0)</f>
        <v>0.123684210526316</v>
      </c>
      <c r="G88" s="14" t="n">
        <f aca="false">IFERROR((G87-G86)/G86,0)</f>
        <v>0.369444444444444</v>
      </c>
      <c r="H88" s="14" t="n">
        <f aca="false">IFERROR((H87-H86)/H86,0)</f>
        <v>-0.314516129032258</v>
      </c>
      <c r="I88" s="14" t="n">
        <f aca="false">IFERROR((I87-I86)/I86,0)</f>
        <v>0.106666666666667</v>
      </c>
      <c r="J88" s="14" t="n">
        <f aca="false">IFERROR((J87-J86)/J86,0)</f>
        <v>-0.0249999999999999</v>
      </c>
      <c r="K88" s="15" t="n">
        <f aca="false">IFERROR((SUM(D87:J87)-SUM(D86:J86))/SUM(D86:J86),0)</f>
        <v>0.187687687687688</v>
      </c>
    </row>
    <row r="89" customFormat="false" ht="15" hidden="false" customHeight="true" outlineLevel="0" collapsed="false">
      <c r="A89" s="42" t="s">
        <v>182</v>
      </c>
      <c r="B89" s="43" t="s">
        <v>183</v>
      </c>
      <c r="C89" s="5" t="s">
        <v>26</v>
      </c>
      <c r="D89" s="6" t="n">
        <v>32</v>
      </c>
      <c r="E89" s="6" t="n">
        <v>28</v>
      </c>
      <c r="F89" s="6" t="n">
        <v>18</v>
      </c>
      <c r="G89" s="6" t="n">
        <v>67</v>
      </c>
      <c r="H89" s="6" t="n">
        <v>44</v>
      </c>
      <c r="I89" s="6" t="n">
        <v>93</v>
      </c>
      <c r="J89" s="6" t="n">
        <v>36</v>
      </c>
      <c r="K89" s="7" t="n">
        <f aca="false">SUM(D89:J89)</f>
        <v>318</v>
      </c>
    </row>
    <row r="90" customFormat="false" ht="15" hidden="false" customHeight="false" outlineLevel="0" collapsed="false">
      <c r="A90" s="42"/>
      <c r="B90" s="42"/>
      <c r="C90" s="44" t="s">
        <v>14</v>
      </c>
      <c r="D90" s="9" t="n">
        <v>33.7</v>
      </c>
      <c r="E90" s="9" t="n">
        <v>33</v>
      </c>
      <c r="F90" s="9" t="n">
        <v>26.9</v>
      </c>
      <c r="G90" s="9" t="n">
        <v>24.5</v>
      </c>
      <c r="H90" s="9" t="n">
        <v>35.9</v>
      </c>
      <c r="I90" s="9" t="n">
        <v>92.5</v>
      </c>
      <c r="J90" s="9" t="n">
        <v>60.6</v>
      </c>
      <c r="K90" s="10" t="n">
        <f aca="false">SUM(D90:J90)</f>
        <v>307.1</v>
      </c>
    </row>
    <row r="91" customFormat="false" ht="15" hidden="false" customHeight="false" outlineLevel="0" collapsed="false">
      <c r="A91" s="42"/>
      <c r="B91" s="42"/>
      <c r="C91" s="11" t="s">
        <v>41</v>
      </c>
      <c r="D91" s="14" t="n">
        <f aca="false">IFERROR((D90-D89)/D89,0)</f>
        <v>0.0531250000000001</v>
      </c>
      <c r="E91" s="14" t="n">
        <f aca="false">IFERROR((E90-E89)/E89,0)</f>
        <v>0.178571428571429</v>
      </c>
      <c r="F91" s="14" t="n">
        <f aca="false">IFERROR((F90-F89)/F89,0)</f>
        <v>0.494444444444444</v>
      </c>
      <c r="G91" s="14" t="n">
        <f aca="false">IFERROR((G90-G89)/G89,0)</f>
        <v>-0.634328358208955</v>
      </c>
      <c r="H91" s="14" t="n">
        <f aca="false">IFERROR((H90-H89)/H89,0)</f>
        <v>-0.184090909090909</v>
      </c>
      <c r="I91" s="14" t="n">
        <f aca="false">IFERROR((I90-I89)/I89,0)</f>
        <v>-0.00537634408602151</v>
      </c>
      <c r="J91" s="14" t="n">
        <f aca="false">IFERROR((J90-J89)/J89,0)</f>
        <v>0.683333333333333</v>
      </c>
      <c r="K91" s="15" t="n">
        <f aca="false">IFERROR((SUM(D90:J90)-SUM(D89:J89))/SUM(D89:J89),0)</f>
        <v>-0.0342767295597484</v>
      </c>
    </row>
    <row r="92" customFormat="false" ht="15" hidden="false" customHeight="true" outlineLevel="0" collapsed="false">
      <c r="A92" s="42" t="s">
        <v>184</v>
      </c>
      <c r="B92" s="43" t="s">
        <v>185</v>
      </c>
      <c r="C92" s="5" t="s">
        <v>26</v>
      </c>
      <c r="D92" s="6" t="n">
        <v>34</v>
      </c>
      <c r="E92" s="6" t="n">
        <v>28</v>
      </c>
      <c r="F92" s="6" t="n">
        <v>31</v>
      </c>
      <c r="G92" s="6" t="n">
        <v>52</v>
      </c>
      <c r="H92" s="6" t="n">
        <v>52</v>
      </c>
      <c r="I92" s="6" t="n">
        <v>77</v>
      </c>
      <c r="J92" s="6" t="n">
        <v>41</v>
      </c>
      <c r="K92" s="7" t="n">
        <f aca="false">SUM(D92:J92)</f>
        <v>315</v>
      </c>
    </row>
    <row r="93" customFormat="false" ht="15" hidden="false" customHeight="false" outlineLevel="0" collapsed="false">
      <c r="A93" s="42"/>
      <c r="B93" s="42"/>
      <c r="C93" s="44" t="s">
        <v>14</v>
      </c>
      <c r="D93" s="9" t="n">
        <v>21.1</v>
      </c>
      <c r="E93" s="9" t="n">
        <v>26.3</v>
      </c>
      <c r="F93" s="9" t="n">
        <v>27.4</v>
      </c>
      <c r="G93" s="9" t="n">
        <v>38.1</v>
      </c>
      <c r="H93" s="9" t="n">
        <v>39</v>
      </c>
      <c r="I93" s="9" t="n">
        <v>77.9</v>
      </c>
      <c r="J93" s="9" t="n">
        <v>37</v>
      </c>
      <c r="K93" s="10" t="n">
        <f aca="false">SUM(D93:J93)</f>
        <v>266.8</v>
      </c>
    </row>
    <row r="94" customFormat="false" ht="15" hidden="false" customHeight="false" outlineLevel="0" collapsed="false">
      <c r="A94" s="42"/>
      <c r="B94" s="42"/>
      <c r="C94" s="11" t="s">
        <v>41</v>
      </c>
      <c r="D94" s="14" t="n">
        <f aca="false">IFERROR((D93-D92)/D92,0)</f>
        <v>-0.379411764705882</v>
      </c>
      <c r="E94" s="14" t="n">
        <f aca="false">IFERROR((E93-E92)/E92,0)</f>
        <v>-0.0607142857142857</v>
      </c>
      <c r="F94" s="14" t="n">
        <f aca="false">IFERROR((F93-F92)/F92,0)</f>
        <v>-0.116129032258065</v>
      </c>
      <c r="G94" s="14" t="n">
        <f aca="false">IFERROR((G93-G92)/G92,0)</f>
        <v>-0.267307692307692</v>
      </c>
      <c r="H94" s="14" t="n">
        <f aca="false">IFERROR((H93-H92)/H92,0)</f>
        <v>-0.25</v>
      </c>
      <c r="I94" s="14" t="n">
        <f aca="false">IFERROR((I93-I92)/I92,0)</f>
        <v>0.0116883116883118</v>
      </c>
      <c r="J94" s="14" t="n">
        <f aca="false">IFERROR((J93-J92)/J92,0)</f>
        <v>-0.0975609756097561</v>
      </c>
      <c r="K94" s="15" t="n">
        <f aca="false">IFERROR((SUM(D93:J93)-SUM(D92:J92))/SUM(D92:J92),0)</f>
        <v>-0.153015873015873</v>
      </c>
    </row>
    <row r="95" customFormat="false" ht="15" hidden="false" customHeight="true" outlineLevel="0" collapsed="false">
      <c r="A95" s="42" t="s">
        <v>186</v>
      </c>
      <c r="B95" s="43" t="s">
        <v>187</v>
      </c>
      <c r="C95" s="5" t="s">
        <v>26</v>
      </c>
      <c r="D95" s="6" t="n">
        <v>50</v>
      </c>
      <c r="E95" s="6" t="n">
        <v>36</v>
      </c>
      <c r="F95" s="6" t="n">
        <v>34</v>
      </c>
      <c r="G95" s="6" t="n">
        <v>35</v>
      </c>
      <c r="H95" s="6" t="n">
        <v>49</v>
      </c>
      <c r="I95" s="6" t="n">
        <v>70</v>
      </c>
      <c r="J95" s="6" t="n">
        <v>37</v>
      </c>
      <c r="K95" s="7" t="n">
        <f aca="false">SUM(D95:J95)</f>
        <v>311</v>
      </c>
    </row>
    <row r="96" customFormat="false" ht="15" hidden="false" customHeight="false" outlineLevel="0" collapsed="false">
      <c r="A96" s="42"/>
      <c r="B96" s="42"/>
      <c r="C96" s="44" t="s">
        <v>14</v>
      </c>
      <c r="D96" s="9" t="n">
        <v>49.7</v>
      </c>
      <c r="E96" s="9" t="n">
        <v>45.2</v>
      </c>
      <c r="F96" s="9" t="n">
        <v>35.6</v>
      </c>
      <c r="G96" s="9" t="n">
        <v>41.8</v>
      </c>
      <c r="H96" s="9" t="n">
        <v>37.3</v>
      </c>
      <c r="I96" s="9" t="n">
        <v>72.1</v>
      </c>
      <c r="J96" s="9" t="n">
        <v>45.3</v>
      </c>
      <c r="K96" s="10" t="n">
        <f aca="false">SUM(D96:J96)</f>
        <v>327</v>
      </c>
    </row>
    <row r="97" customFormat="false" ht="15" hidden="false" customHeight="false" outlineLevel="0" collapsed="false">
      <c r="A97" s="42"/>
      <c r="B97" s="42"/>
      <c r="C97" s="11" t="s">
        <v>41</v>
      </c>
      <c r="D97" s="14" t="n">
        <f aca="false">IFERROR((D96-D95)/D95,0)</f>
        <v>-0.00599999999999994</v>
      </c>
      <c r="E97" s="14" t="n">
        <f aca="false">IFERROR((E96-E95)/E95,0)</f>
        <v>0.255555555555556</v>
      </c>
      <c r="F97" s="14" t="n">
        <f aca="false">IFERROR((F96-F95)/F95,0)</f>
        <v>0.0470588235294118</v>
      </c>
      <c r="G97" s="14" t="n">
        <f aca="false">IFERROR((G96-G95)/G95,0)</f>
        <v>0.194285714285714</v>
      </c>
      <c r="H97" s="14" t="n">
        <f aca="false">IFERROR((H96-H95)/H95,0)</f>
        <v>-0.238775510204082</v>
      </c>
      <c r="I97" s="14" t="n">
        <f aca="false">IFERROR((I96-I95)/I95,0)</f>
        <v>0.0299999999999999</v>
      </c>
      <c r="J97" s="14" t="n">
        <f aca="false">IFERROR((J96-J95)/J95,0)</f>
        <v>0.224324324324324</v>
      </c>
      <c r="K97" s="15" t="n">
        <f aca="false">IFERROR((SUM(D96:J96)-SUM(D95:J95))/SUM(D95:J95),0)</f>
        <v>0.0514469453376206</v>
      </c>
    </row>
    <row r="98" customFormat="false" ht="15" hidden="false" customHeight="true" outlineLevel="0" collapsed="false">
      <c r="A98" s="42" t="s">
        <v>188</v>
      </c>
      <c r="B98" s="43" t="s">
        <v>189</v>
      </c>
      <c r="C98" s="5" t="s">
        <v>26</v>
      </c>
      <c r="D98" s="6" t="n">
        <v>37</v>
      </c>
      <c r="E98" s="6" t="n">
        <v>22</v>
      </c>
      <c r="F98" s="6" t="n">
        <v>23</v>
      </c>
      <c r="G98" s="6" t="n">
        <v>29</v>
      </c>
      <c r="H98" s="6" t="n">
        <v>52</v>
      </c>
      <c r="I98" s="6" t="n">
        <v>85</v>
      </c>
      <c r="J98" s="6" t="n">
        <v>61</v>
      </c>
      <c r="K98" s="7" t="n">
        <f aca="false">SUM(D98:J98)</f>
        <v>309</v>
      </c>
    </row>
    <row r="99" customFormat="false" ht="15" hidden="false" customHeight="false" outlineLevel="0" collapsed="false">
      <c r="A99" s="42"/>
      <c r="B99" s="42"/>
      <c r="C99" s="44" t="s">
        <v>14</v>
      </c>
      <c r="D99" s="9" t="n">
        <v>31.3</v>
      </c>
      <c r="E99" s="9" t="n">
        <v>36.2</v>
      </c>
      <c r="F99" s="9" t="n">
        <v>30.6</v>
      </c>
      <c r="G99" s="9" t="n">
        <v>32.6</v>
      </c>
      <c r="H99" s="9" t="n">
        <v>33</v>
      </c>
      <c r="I99" s="9" t="n">
        <v>98.2</v>
      </c>
      <c r="J99" s="9" t="n">
        <v>53.4</v>
      </c>
      <c r="K99" s="10" t="n">
        <f aca="false">SUM(D99:J99)</f>
        <v>315.3</v>
      </c>
    </row>
    <row r="100" customFormat="false" ht="15" hidden="false" customHeight="false" outlineLevel="0" collapsed="false">
      <c r="A100" s="42"/>
      <c r="B100" s="42"/>
      <c r="C100" s="11" t="s">
        <v>41</v>
      </c>
      <c r="D100" s="14" t="n">
        <f aca="false">IFERROR((D99-D98)/D98,0)</f>
        <v>-0.154054054054054</v>
      </c>
      <c r="E100" s="14" t="n">
        <f aca="false">IFERROR((E99-E98)/E98,0)</f>
        <v>0.645454545454546</v>
      </c>
      <c r="F100" s="14" t="n">
        <f aca="false">IFERROR((F99-F98)/F98,0)</f>
        <v>0.330434782608696</v>
      </c>
      <c r="G100" s="14" t="n">
        <f aca="false">IFERROR((G99-G98)/G98,0)</f>
        <v>0.124137931034483</v>
      </c>
      <c r="H100" s="14" t="n">
        <f aca="false">IFERROR((H99-H98)/H98,0)</f>
        <v>-0.365384615384615</v>
      </c>
      <c r="I100" s="14" t="n">
        <f aca="false">IFERROR((I99-I98)/I98,0)</f>
        <v>0.155294117647059</v>
      </c>
      <c r="J100" s="14" t="n">
        <f aca="false">IFERROR((J99-J98)/J98,0)</f>
        <v>-0.124590163934426</v>
      </c>
      <c r="K100" s="15" t="n">
        <f aca="false">IFERROR((SUM(D99:J99)-SUM(D98:J98))/SUM(D98:J98),0)</f>
        <v>0.0203883495145631</v>
      </c>
    </row>
    <row r="101" customFormat="false" ht="15" hidden="false" customHeight="true" outlineLevel="0" collapsed="false">
      <c r="A101" s="42" t="s">
        <v>190</v>
      </c>
      <c r="B101" s="43" t="s">
        <v>191</v>
      </c>
      <c r="C101" s="5" t="s">
        <v>26</v>
      </c>
      <c r="D101" s="6" t="n">
        <v>20</v>
      </c>
      <c r="E101" s="6" t="n">
        <v>23</v>
      </c>
      <c r="F101" s="6" t="n">
        <v>30</v>
      </c>
      <c r="G101" s="6" t="n">
        <v>53</v>
      </c>
      <c r="H101" s="6" t="n">
        <v>60</v>
      </c>
      <c r="I101" s="6" t="n">
        <v>75</v>
      </c>
      <c r="J101" s="6" t="n">
        <v>42</v>
      </c>
      <c r="K101" s="7" t="n">
        <f aca="false">SUM(D101:J101)</f>
        <v>303</v>
      </c>
    </row>
    <row r="102" customFormat="false" ht="15" hidden="false" customHeight="false" outlineLevel="0" collapsed="false">
      <c r="A102" s="42"/>
      <c r="B102" s="42"/>
      <c r="C102" s="44" t="s">
        <v>14</v>
      </c>
      <c r="D102" s="9" t="n">
        <v>34.8</v>
      </c>
      <c r="E102" s="9" t="n">
        <v>32.3</v>
      </c>
      <c r="F102" s="9" t="n">
        <v>35.1</v>
      </c>
      <c r="G102" s="9" t="n">
        <v>40.6</v>
      </c>
      <c r="H102" s="9" t="n">
        <v>48.6</v>
      </c>
      <c r="I102" s="9" t="n">
        <v>103.5</v>
      </c>
      <c r="J102" s="9" t="n">
        <v>58.6</v>
      </c>
      <c r="K102" s="10" t="n">
        <f aca="false">SUM(D102:J102)</f>
        <v>353.5</v>
      </c>
    </row>
    <row r="103" customFormat="false" ht="15" hidden="false" customHeight="false" outlineLevel="0" collapsed="false">
      <c r="A103" s="42"/>
      <c r="B103" s="42"/>
      <c r="C103" s="11" t="s">
        <v>41</v>
      </c>
      <c r="D103" s="14" t="n">
        <f aca="false">IFERROR((D102-D101)/D101,0)</f>
        <v>0.74</v>
      </c>
      <c r="E103" s="14" t="n">
        <f aca="false">IFERROR((E102-E101)/E101,0)</f>
        <v>0.404347826086956</v>
      </c>
      <c r="F103" s="14" t="n">
        <f aca="false">IFERROR((F102-F101)/F101,0)</f>
        <v>0.17</v>
      </c>
      <c r="G103" s="14" t="n">
        <f aca="false">IFERROR((G102-G101)/G101,0)</f>
        <v>-0.233962264150943</v>
      </c>
      <c r="H103" s="14" t="n">
        <f aca="false">IFERROR((H102-H101)/H101,0)</f>
        <v>-0.19</v>
      </c>
      <c r="I103" s="14" t="n">
        <f aca="false">IFERROR((I102-I101)/I101,0)</f>
        <v>0.38</v>
      </c>
      <c r="J103" s="14" t="n">
        <f aca="false">IFERROR((J102-J101)/J101,0)</f>
        <v>0.395238095238095</v>
      </c>
      <c r="K103" s="15" t="n">
        <f aca="false">IFERROR((SUM(D102:J102)-SUM(D101:J101))/SUM(D101:J101),0)</f>
        <v>0.166666666666667</v>
      </c>
    </row>
    <row r="104" customFormat="false" ht="15" hidden="false" customHeight="true" outlineLevel="0" collapsed="false">
      <c r="A104" s="42" t="s">
        <v>192</v>
      </c>
      <c r="B104" s="43" t="s">
        <v>193</v>
      </c>
      <c r="C104" s="5" t="s">
        <v>26</v>
      </c>
      <c r="D104" s="6" t="n">
        <v>58</v>
      </c>
      <c r="E104" s="6" t="n">
        <v>47</v>
      </c>
      <c r="F104" s="6" t="n">
        <v>40</v>
      </c>
      <c r="G104" s="6" t="n">
        <v>34</v>
      </c>
      <c r="H104" s="6" t="n">
        <v>40</v>
      </c>
      <c r="I104" s="6" t="n">
        <v>51</v>
      </c>
      <c r="J104" s="6" t="n">
        <v>32</v>
      </c>
      <c r="K104" s="7" t="n">
        <f aca="false">SUM(D104:J104)</f>
        <v>302</v>
      </c>
    </row>
    <row r="105" customFormat="false" ht="15" hidden="false" customHeight="false" outlineLevel="0" collapsed="false">
      <c r="A105" s="42"/>
      <c r="B105" s="42"/>
      <c r="C105" s="44" t="s">
        <v>14</v>
      </c>
      <c r="D105" s="9" t="n">
        <v>35.9</v>
      </c>
      <c r="E105" s="9" t="n">
        <v>49.3</v>
      </c>
      <c r="F105" s="9" t="n">
        <v>41.9</v>
      </c>
      <c r="G105" s="9" t="n">
        <v>35.5</v>
      </c>
      <c r="H105" s="9" t="n">
        <v>29</v>
      </c>
      <c r="I105" s="9" t="n">
        <v>53.2</v>
      </c>
      <c r="J105" s="9" t="n">
        <v>24.4</v>
      </c>
      <c r="K105" s="10" t="n">
        <f aca="false">SUM(D105:J105)</f>
        <v>269.2</v>
      </c>
    </row>
    <row r="106" customFormat="false" ht="15" hidden="false" customHeight="false" outlineLevel="0" collapsed="false">
      <c r="A106" s="42"/>
      <c r="B106" s="42"/>
      <c r="C106" s="11" t="s">
        <v>41</v>
      </c>
      <c r="D106" s="14" t="n">
        <f aca="false">IFERROR((D105-D104)/D104,0)</f>
        <v>-0.381034482758621</v>
      </c>
      <c r="E106" s="14" t="n">
        <f aca="false">IFERROR((E105-E104)/E104,0)</f>
        <v>0.0489361702127659</v>
      </c>
      <c r="F106" s="14" t="n">
        <f aca="false">IFERROR((F105-F104)/F104,0)</f>
        <v>0.0475</v>
      </c>
      <c r="G106" s="14" t="n">
        <f aca="false">IFERROR((G105-G104)/G104,0)</f>
        <v>0.0441176470588235</v>
      </c>
      <c r="H106" s="14" t="n">
        <f aca="false">IFERROR((H105-H104)/H104,0)</f>
        <v>-0.275</v>
      </c>
      <c r="I106" s="14" t="n">
        <f aca="false">IFERROR((I105-I104)/I104,0)</f>
        <v>0.0431372549019608</v>
      </c>
      <c r="J106" s="14" t="n">
        <f aca="false">IFERROR((J105-J104)/J104,0)</f>
        <v>-0.2375</v>
      </c>
      <c r="K106" s="15" t="n">
        <f aca="false">IFERROR((SUM(D105:J105)-SUM(D104:J104))/SUM(D104:J104),0)</f>
        <v>-0.108609271523179</v>
      </c>
    </row>
    <row r="107" customFormat="false" ht="15" hidden="false" customHeight="true" outlineLevel="0" collapsed="false">
      <c r="A107" s="42" t="s">
        <v>194</v>
      </c>
      <c r="B107" s="43" t="s">
        <v>195</v>
      </c>
      <c r="C107" s="5" t="s">
        <v>26</v>
      </c>
      <c r="D107" s="6" t="n">
        <v>24</v>
      </c>
      <c r="E107" s="6" t="n">
        <v>24</v>
      </c>
      <c r="F107" s="6" t="n">
        <v>17</v>
      </c>
      <c r="G107" s="6" t="n">
        <v>34</v>
      </c>
      <c r="H107" s="6" t="n">
        <v>52</v>
      </c>
      <c r="I107" s="6" t="n">
        <v>111</v>
      </c>
      <c r="J107" s="6" t="n">
        <v>38</v>
      </c>
      <c r="K107" s="7" t="n">
        <f aca="false">SUM(D107:J107)</f>
        <v>300</v>
      </c>
    </row>
    <row r="108" customFormat="false" ht="15" hidden="false" customHeight="false" outlineLevel="0" collapsed="false">
      <c r="A108" s="42"/>
      <c r="B108" s="42"/>
      <c r="C108" s="44" t="s">
        <v>14</v>
      </c>
      <c r="D108" s="9" t="n">
        <v>24</v>
      </c>
      <c r="E108" s="9" t="n">
        <v>24.6</v>
      </c>
      <c r="F108" s="9" t="n">
        <v>24.9</v>
      </c>
      <c r="G108" s="9" t="n">
        <v>30.7</v>
      </c>
      <c r="H108" s="9" t="n">
        <v>38.3</v>
      </c>
      <c r="I108" s="9" t="n">
        <v>103.2</v>
      </c>
      <c r="J108" s="9" t="n">
        <v>46.9</v>
      </c>
      <c r="K108" s="10" t="n">
        <f aca="false">SUM(D108:J108)</f>
        <v>292.6</v>
      </c>
    </row>
    <row r="109" customFormat="false" ht="15" hidden="false" customHeight="false" outlineLevel="0" collapsed="false">
      <c r="A109" s="42"/>
      <c r="B109" s="42"/>
      <c r="C109" s="11" t="s">
        <v>41</v>
      </c>
      <c r="D109" s="14" t="n">
        <f aca="false">IFERROR((D108-D107)/D107,0)</f>
        <v>0</v>
      </c>
      <c r="E109" s="14" t="n">
        <f aca="false">IFERROR((E108-E107)/E107,0)</f>
        <v>0.0250000000000001</v>
      </c>
      <c r="F109" s="14" t="n">
        <f aca="false">IFERROR((F108-F107)/F107,0)</f>
        <v>0.464705882352941</v>
      </c>
      <c r="G109" s="14" t="n">
        <f aca="false">IFERROR((G108-G107)/G107,0)</f>
        <v>-0.0970588235294118</v>
      </c>
      <c r="H109" s="14" t="n">
        <f aca="false">IFERROR((H108-H107)/H107,0)</f>
        <v>-0.263461538461539</v>
      </c>
      <c r="I109" s="14" t="n">
        <f aca="false">IFERROR((I108-I107)/I107,0)</f>
        <v>-0.0702702702702703</v>
      </c>
      <c r="J109" s="14" t="n">
        <f aca="false">IFERROR((J108-J107)/J107,0)</f>
        <v>0.234210526315789</v>
      </c>
      <c r="K109" s="15" t="n">
        <f aca="false">IFERROR((SUM(D108:J108)-SUM(D107:J107))/SUM(D107:J107),0)</f>
        <v>-0.0246666666666668</v>
      </c>
    </row>
    <row r="110" customFormat="false" ht="15" hidden="false" customHeight="true" outlineLevel="0" collapsed="false">
      <c r="A110" s="42" t="s">
        <v>196</v>
      </c>
      <c r="B110" s="43" t="s">
        <v>197</v>
      </c>
      <c r="C110" s="5" t="s">
        <v>26</v>
      </c>
      <c r="D110" s="6" t="n">
        <v>27</v>
      </c>
      <c r="E110" s="6" t="n">
        <v>33</v>
      </c>
      <c r="F110" s="6" t="n">
        <v>17</v>
      </c>
      <c r="G110" s="6" t="n">
        <v>45</v>
      </c>
      <c r="H110" s="6" t="n">
        <v>63</v>
      </c>
      <c r="I110" s="6" t="n">
        <v>79</v>
      </c>
      <c r="J110" s="6" t="n">
        <v>28</v>
      </c>
      <c r="K110" s="7" t="n">
        <f aca="false">SUM(D110:J110)</f>
        <v>292</v>
      </c>
    </row>
    <row r="111" customFormat="false" ht="15" hidden="false" customHeight="false" outlineLevel="0" collapsed="false">
      <c r="A111" s="42"/>
      <c r="B111" s="42"/>
      <c r="C111" s="44" t="s">
        <v>14</v>
      </c>
      <c r="D111" s="9" t="n">
        <v>20.4</v>
      </c>
      <c r="E111" s="9" t="n">
        <v>23.3</v>
      </c>
      <c r="F111" s="9" t="n">
        <v>22.2</v>
      </c>
      <c r="G111" s="9" t="n">
        <v>22.8</v>
      </c>
      <c r="H111" s="9" t="n">
        <v>30.3</v>
      </c>
      <c r="I111" s="9" t="n">
        <v>80.9</v>
      </c>
      <c r="J111" s="9" t="n">
        <v>39.2</v>
      </c>
      <c r="K111" s="10" t="n">
        <f aca="false">SUM(D111:J111)</f>
        <v>239.1</v>
      </c>
    </row>
    <row r="112" customFormat="false" ht="15" hidden="false" customHeight="false" outlineLevel="0" collapsed="false">
      <c r="A112" s="42"/>
      <c r="B112" s="42"/>
      <c r="C112" s="11" t="s">
        <v>41</v>
      </c>
      <c r="D112" s="14" t="n">
        <f aca="false">IFERROR((D111-D110)/D110,0)</f>
        <v>-0.244444444444445</v>
      </c>
      <c r="E112" s="14" t="n">
        <f aca="false">IFERROR((E111-E110)/E110,0)</f>
        <v>-0.293939393939394</v>
      </c>
      <c r="F112" s="14" t="n">
        <f aca="false">IFERROR((F111-F110)/F110,0)</f>
        <v>0.305882352941176</v>
      </c>
      <c r="G112" s="14" t="n">
        <f aca="false">IFERROR((G111-G110)/G110,0)</f>
        <v>-0.493333333333333</v>
      </c>
      <c r="H112" s="14" t="n">
        <f aca="false">IFERROR((H111-H110)/H110,0)</f>
        <v>-0.519047619047619</v>
      </c>
      <c r="I112" s="14" t="n">
        <f aca="false">IFERROR((I111-I110)/I110,0)</f>
        <v>0.0240506329113925</v>
      </c>
      <c r="J112" s="14" t="n">
        <f aca="false">IFERROR((J111-J110)/J110,0)</f>
        <v>0.4</v>
      </c>
      <c r="K112" s="15" t="n">
        <f aca="false">IFERROR((SUM(D111:J111)-SUM(D110:J110))/SUM(D110:J110),0)</f>
        <v>-0.181164383561644</v>
      </c>
    </row>
    <row r="113" customFormat="false" ht="15" hidden="false" customHeight="true" outlineLevel="0" collapsed="false">
      <c r="A113" s="42" t="s">
        <v>198</v>
      </c>
      <c r="B113" s="43" t="s">
        <v>199</v>
      </c>
      <c r="C113" s="5" t="s">
        <v>26</v>
      </c>
      <c r="D113" s="6" t="n">
        <v>15</v>
      </c>
      <c r="E113" s="6" t="n">
        <v>15</v>
      </c>
      <c r="F113" s="6" t="n">
        <v>29</v>
      </c>
      <c r="G113" s="6" t="n">
        <v>39</v>
      </c>
      <c r="H113" s="6" t="n">
        <v>50</v>
      </c>
      <c r="I113" s="6" t="n">
        <v>81</v>
      </c>
      <c r="J113" s="6" t="n">
        <v>52</v>
      </c>
      <c r="K113" s="7" t="n">
        <f aca="false">SUM(D113:J113)</f>
        <v>281</v>
      </c>
    </row>
    <row r="114" customFormat="false" ht="15" hidden="false" customHeight="false" outlineLevel="0" collapsed="false">
      <c r="A114" s="42"/>
      <c r="B114" s="42"/>
      <c r="C114" s="44" t="s">
        <v>14</v>
      </c>
      <c r="D114" s="9" t="n">
        <v>25.6</v>
      </c>
      <c r="E114" s="9" t="n">
        <v>24.3</v>
      </c>
      <c r="F114" s="9" t="n">
        <v>27.6</v>
      </c>
      <c r="G114" s="9" t="n">
        <v>36.7</v>
      </c>
      <c r="H114" s="9" t="n">
        <v>42.3</v>
      </c>
      <c r="I114" s="9" t="n">
        <v>87.6</v>
      </c>
      <c r="J114" s="9" t="n">
        <v>47.4</v>
      </c>
      <c r="K114" s="10" t="n">
        <f aca="false">SUM(D114:J114)</f>
        <v>291.5</v>
      </c>
    </row>
    <row r="115" customFormat="false" ht="15" hidden="false" customHeight="false" outlineLevel="0" collapsed="false">
      <c r="A115" s="42"/>
      <c r="B115" s="42"/>
      <c r="C115" s="11" t="s">
        <v>41</v>
      </c>
      <c r="D115" s="14" t="n">
        <f aca="false">IFERROR((D114-D113)/D113,0)</f>
        <v>0.706666666666667</v>
      </c>
      <c r="E115" s="14" t="n">
        <f aca="false">IFERROR((E114-E113)/E113,0)</f>
        <v>0.62</v>
      </c>
      <c r="F115" s="14" t="n">
        <f aca="false">IFERROR((F114-F113)/F113,0)</f>
        <v>-0.0482758620689655</v>
      </c>
      <c r="G115" s="14" t="n">
        <f aca="false">IFERROR((G114-G113)/G113,0)</f>
        <v>-0.0589743589743589</v>
      </c>
      <c r="H115" s="14" t="n">
        <f aca="false">IFERROR((H114-H113)/H113,0)</f>
        <v>-0.154</v>
      </c>
      <c r="I115" s="14" t="n">
        <f aca="false">IFERROR((I114-I113)/I113,0)</f>
        <v>0.0814814814814814</v>
      </c>
      <c r="J115" s="14" t="n">
        <f aca="false">IFERROR((J114-J113)/J113,0)</f>
        <v>-0.0884615384615385</v>
      </c>
      <c r="K115" s="15" t="n">
        <f aca="false">IFERROR((SUM(D114:J114)-SUM(D113:J113))/SUM(D113:J113),0)</f>
        <v>0.0373665480427046</v>
      </c>
    </row>
    <row r="116" customFormat="false" ht="15" hidden="false" customHeight="true" outlineLevel="0" collapsed="false">
      <c r="A116" s="42" t="s">
        <v>200</v>
      </c>
      <c r="B116" s="43" t="s">
        <v>201</v>
      </c>
      <c r="C116" s="5" t="s">
        <v>26</v>
      </c>
      <c r="D116" s="6" t="n">
        <v>22</v>
      </c>
      <c r="E116" s="6" t="n">
        <v>18</v>
      </c>
      <c r="F116" s="6" t="n">
        <v>19</v>
      </c>
      <c r="G116" s="6" t="n">
        <v>36</v>
      </c>
      <c r="H116" s="6" t="n">
        <v>50</v>
      </c>
      <c r="I116" s="6" t="n">
        <v>84</v>
      </c>
      <c r="J116" s="6" t="n">
        <v>44</v>
      </c>
      <c r="K116" s="7" t="n">
        <f aca="false">SUM(D116:J116)</f>
        <v>273</v>
      </c>
    </row>
    <row r="117" customFormat="false" ht="15" hidden="false" customHeight="false" outlineLevel="0" collapsed="false">
      <c r="A117" s="42"/>
      <c r="B117" s="42"/>
      <c r="C117" s="44" t="s">
        <v>14</v>
      </c>
      <c r="D117" s="9" t="n">
        <v>21.8</v>
      </c>
      <c r="E117" s="9" t="n">
        <v>21.9</v>
      </c>
      <c r="F117" s="9" t="n">
        <v>23</v>
      </c>
      <c r="G117" s="9" t="n">
        <v>27.7</v>
      </c>
      <c r="H117" s="9" t="n">
        <v>37.2</v>
      </c>
      <c r="I117" s="9" t="n">
        <v>78.8</v>
      </c>
      <c r="J117" s="9" t="n">
        <v>46.5</v>
      </c>
      <c r="K117" s="10" t="n">
        <f aca="false">SUM(D117:J117)</f>
        <v>256.9</v>
      </c>
    </row>
    <row r="118" customFormat="false" ht="15" hidden="false" customHeight="false" outlineLevel="0" collapsed="false">
      <c r="A118" s="42"/>
      <c r="B118" s="42"/>
      <c r="C118" s="11" t="s">
        <v>41</v>
      </c>
      <c r="D118" s="14" t="n">
        <f aca="false">IFERROR((D117-D116)/D116,0)</f>
        <v>-0.00909090909090906</v>
      </c>
      <c r="E118" s="14" t="n">
        <f aca="false">IFERROR((E117-E116)/E116,0)</f>
        <v>0.216666666666667</v>
      </c>
      <c r="F118" s="14" t="n">
        <f aca="false">IFERROR((F117-F116)/F116,0)</f>
        <v>0.210526315789474</v>
      </c>
      <c r="G118" s="14" t="n">
        <f aca="false">IFERROR((G117-G116)/G116,0)</f>
        <v>-0.230555555555556</v>
      </c>
      <c r="H118" s="14" t="n">
        <f aca="false">IFERROR((H117-H116)/H116,0)</f>
        <v>-0.256</v>
      </c>
      <c r="I118" s="14" t="n">
        <f aca="false">IFERROR((I117-I116)/I116,0)</f>
        <v>-0.0619047619047619</v>
      </c>
      <c r="J118" s="14" t="n">
        <f aca="false">IFERROR((J117-J116)/J116,0)</f>
        <v>0.0568181818181818</v>
      </c>
      <c r="K118" s="15" t="n">
        <f aca="false">IFERROR((SUM(D117:J117)-SUM(D116:J116))/SUM(D116:J116),0)</f>
        <v>-0.0589743589743591</v>
      </c>
    </row>
    <row r="119" customFormat="false" ht="15" hidden="false" customHeight="true" outlineLevel="0" collapsed="false">
      <c r="A119" s="42" t="s">
        <v>202</v>
      </c>
      <c r="B119" s="43" t="s">
        <v>203</v>
      </c>
      <c r="C119" s="5" t="s">
        <v>26</v>
      </c>
      <c r="D119" s="6" t="n">
        <v>10</v>
      </c>
      <c r="E119" s="6" t="n">
        <v>24</v>
      </c>
      <c r="F119" s="6" t="n">
        <v>22</v>
      </c>
      <c r="G119" s="6" t="n">
        <v>37</v>
      </c>
      <c r="H119" s="6" t="n">
        <v>28</v>
      </c>
      <c r="I119" s="6" t="n">
        <v>121</v>
      </c>
      <c r="J119" s="6" t="n">
        <v>28</v>
      </c>
      <c r="K119" s="7" t="n">
        <f aca="false">SUM(D119:J119)</f>
        <v>270</v>
      </c>
    </row>
    <row r="120" customFormat="false" ht="15" hidden="false" customHeight="false" outlineLevel="0" collapsed="false">
      <c r="A120" s="42"/>
      <c r="B120" s="42"/>
      <c r="C120" s="44" t="s">
        <v>14</v>
      </c>
      <c r="D120" s="9" t="n">
        <v>13.4</v>
      </c>
      <c r="E120" s="9" t="n">
        <v>22.6</v>
      </c>
      <c r="F120" s="9" t="n">
        <v>27.4</v>
      </c>
      <c r="G120" s="9" t="n">
        <v>27.6</v>
      </c>
      <c r="H120" s="9" t="n">
        <v>33.8</v>
      </c>
      <c r="I120" s="9" t="n">
        <v>81.8</v>
      </c>
      <c r="J120" s="9" t="n">
        <v>30.5</v>
      </c>
      <c r="K120" s="10" t="n">
        <f aca="false">SUM(D120:J120)</f>
        <v>237.1</v>
      </c>
    </row>
    <row r="121" customFormat="false" ht="15" hidden="false" customHeight="false" outlineLevel="0" collapsed="false">
      <c r="A121" s="42"/>
      <c r="B121" s="42"/>
      <c r="C121" s="11" t="s">
        <v>41</v>
      </c>
      <c r="D121" s="14" t="n">
        <f aca="false">IFERROR((D120-D119)/D119,0)</f>
        <v>0.34</v>
      </c>
      <c r="E121" s="14" t="n">
        <f aca="false">IFERROR((E120-E119)/E119,0)</f>
        <v>-0.0583333333333333</v>
      </c>
      <c r="F121" s="14" t="n">
        <f aca="false">IFERROR((F120-F119)/F119,0)</f>
        <v>0.245454545454545</v>
      </c>
      <c r="G121" s="14" t="n">
        <f aca="false">IFERROR((G120-G119)/G119,0)</f>
        <v>-0.254054054054054</v>
      </c>
      <c r="H121" s="14" t="n">
        <f aca="false">IFERROR((H120-H119)/H119,0)</f>
        <v>0.207142857142857</v>
      </c>
      <c r="I121" s="14" t="n">
        <f aca="false">IFERROR((I120-I119)/I119,0)</f>
        <v>-0.32396694214876</v>
      </c>
      <c r="J121" s="14" t="n">
        <f aca="false">IFERROR((J120-J119)/J119,0)</f>
        <v>0.0892857142857143</v>
      </c>
      <c r="K121" s="15" t="n">
        <f aca="false">IFERROR((SUM(D120:J120)-SUM(D119:J119))/SUM(D119:J119),0)</f>
        <v>-0.121851851851852</v>
      </c>
    </row>
    <row r="122" customFormat="false" ht="15" hidden="false" customHeight="true" outlineLevel="0" collapsed="false">
      <c r="A122" s="42" t="s">
        <v>204</v>
      </c>
      <c r="B122" s="43" t="s">
        <v>205</v>
      </c>
      <c r="C122" s="5" t="s">
        <v>26</v>
      </c>
      <c r="D122" s="6" t="n">
        <v>21</v>
      </c>
      <c r="E122" s="6" t="n">
        <v>20</v>
      </c>
      <c r="F122" s="6" t="n">
        <v>25</v>
      </c>
      <c r="G122" s="6" t="n">
        <v>38</v>
      </c>
      <c r="H122" s="6" t="n">
        <v>42</v>
      </c>
      <c r="I122" s="6" t="n">
        <v>76</v>
      </c>
      <c r="J122" s="6" t="n">
        <v>42</v>
      </c>
      <c r="K122" s="7" t="n">
        <f aca="false">SUM(D122:J122)</f>
        <v>264</v>
      </c>
    </row>
    <row r="123" customFormat="false" ht="15" hidden="false" customHeight="false" outlineLevel="0" collapsed="false">
      <c r="A123" s="42"/>
      <c r="B123" s="42"/>
      <c r="C123" s="44" t="s">
        <v>14</v>
      </c>
      <c r="D123" s="9" t="n">
        <v>30.2</v>
      </c>
      <c r="E123" s="9" t="n">
        <v>24.2</v>
      </c>
      <c r="F123" s="9" t="n">
        <v>31.1</v>
      </c>
      <c r="G123" s="9" t="n">
        <v>37.2</v>
      </c>
      <c r="H123" s="9" t="n">
        <v>47.2</v>
      </c>
      <c r="I123" s="9" t="n">
        <v>115.4</v>
      </c>
      <c r="J123" s="9" t="n">
        <v>44.6</v>
      </c>
      <c r="K123" s="10" t="n">
        <f aca="false">SUM(D123:J123)</f>
        <v>329.9</v>
      </c>
    </row>
    <row r="124" customFormat="false" ht="15" hidden="false" customHeight="false" outlineLevel="0" collapsed="false">
      <c r="A124" s="42"/>
      <c r="B124" s="42"/>
      <c r="C124" s="11" t="s">
        <v>41</v>
      </c>
      <c r="D124" s="14" t="n">
        <f aca="false">IFERROR((D123-D122)/D122,0)</f>
        <v>0.438095238095238</v>
      </c>
      <c r="E124" s="14" t="n">
        <f aca="false">IFERROR((E123-E122)/E122,0)</f>
        <v>0.21</v>
      </c>
      <c r="F124" s="14" t="n">
        <f aca="false">IFERROR((F123-F122)/F122,0)</f>
        <v>0.244</v>
      </c>
      <c r="G124" s="14" t="n">
        <f aca="false">IFERROR((G123-G122)/G122,0)</f>
        <v>-0.0210526315789473</v>
      </c>
      <c r="H124" s="14" t="n">
        <f aca="false">IFERROR((H123-H122)/H122,0)</f>
        <v>0.123809523809524</v>
      </c>
      <c r="I124" s="14" t="n">
        <f aca="false">IFERROR((I123-I122)/I122,0)</f>
        <v>0.518421052631579</v>
      </c>
      <c r="J124" s="14" t="n">
        <f aca="false">IFERROR((J123-J122)/J122,0)</f>
        <v>0.0619047619047619</v>
      </c>
      <c r="K124" s="15" t="n">
        <f aca="false">IFERROR((SUM(D123:J123)-SUM(D122:J122))/SUM(D122:J122),0)</f>
        <v>0.249621212121212</v>
      </c>
    </row>
    <row r="125" customFormat="false" ht="15" hidden="false" customHeight="true" outlineLevel="0" collapsed="false">
      <c r="A125" s="42" t="s">
        <v>206</v>
      </c>
      <c r="B125" s="43" t="s">
        <v>207</v>
      </c>
      <c r="C125" s="5" t="s">
        <v>26</v>
      </c>
      <c r="D125" s="6" t="n">
        <v>18</v>
      </c>
      <c r="E125" s="6" t="n">
        <v>31</v>
      </c>
      <c r="F125" s="6" t="n">
        <v>25</v>
      </c>
      <c r="G125" s="6" t="n">
        <v>40</v>
      </c>
      <c r="H125" s="6" t="n">
        <v>43</v>
      </c>
      <c r="I125" s="6" t="n">
        <v>66</v>
      </c>
      <c r="J125" s="6" t="n">
        <v>29</v>
      </c>
      <c r="K125" s="7" t="n">
        <f aca="false">SUM(D125:J125)</f>
        <v>252</v>
      </c>
    </row>
    <row r="126" customFormat="false" ht="15" hidden="false" customHeight="false" outlineLevel="0" collapsed="false">
      <c r="A126" s="42"/>
      <c r="B126" s="42"/>
      <c r="C126" s="44" t="s">
        <v>14</v>
      </c>
      <c r="D126" s="9" t="n">
        <v>12.7</v>
      </c>
      <c r="E126" s="9" t="n">
        <v>21.3</v>
      </c>
      <c r="F126" s="9" t="n">
        <v>27.4</v>
      </c>
      <c r="G126" s="9" t="n">
        <v>27</v>
      </c>
      <c r="H126" s="9" t="n">
        <v>23.6</v>
      </c>
      <c r="I126" s="9" t="n">
        <v>53.4</v>
      </c>
      <c r="J126" s="9" t="n">
        <v>33.5</v>
      </c>
      <c r="K126" s="10" t="n">
        <f aca="false">SUM(D126:J126)</f>
        <v>198.9</v>
      </c>
    </row>
    <row r="127" customFormat="false" ht="15" hidden="false" customHeight="false" outlineLevel="0" collapsed="false">
      <c r="A127" s="42"/>
      <c r="B127" s="42"/>
      <c r="C127" s="11" t="s">
        <v>41</v>
      </c>
      <c r="D127" s="14" t="n">
        <f aca="false">IFERROR((D126-D125)/D125,0)</f>
        <v>-0.294444444444445</v>
      </c>
      <c r="E127" s="14" t="n">
        <f aca="false">IFERROR((E126-E125)/E125,0)</f>
        <v>-0.312903225806452</v>
      </c>
      <c r="F127" s="14" t="n">
        <f aca="false">IFERROR((F126-F125)/F125,0)</f>
        <v>0.096</v>
      </c>
      <c r="G127" s="14" t="n">
        <f aca="false">IFERROR((G126-G125)/G125,0)</f>
        <v>-0.325</v>
      </c>
      <c r="H127" s="14" t="n">
        <f aca="false">IFERROR((H126-H125)/H125,0)</f>
        <v>-0.451162790697674</v>
      </c>
      <c r="I127" s="14" t="n">
        <f aca="false">IFERROR((I126-I125)/I125,0)</f>
        <v>-0.190909090909091</v>
      </c>
      <c r="J127" s="14" t="n">
        <f aca="false">IFERROR((J126-J125)/J125,0)</f>
        <v>0.155172413793103</v>
      </c>
      <c r="K127" s="15" t="n">
        <f aca="false">IFERROR((SUM(D126:J126)-SUM(D125:J125))/SUM(D125:J125),0)</f>
        <v>-0.210714285714286</v>
      </c>
    </row>
    <row r="128" customFormat="false" ht="15" hidden="false" customHeight="true" outlineLevel="0" collapsed="false">
      <c r="A128" s="42" t="s">
        <v>208</v>
      </c>
      <c r="B128" s="43" t="s">
        <v>209</v>
      </c>
      <c r="C128" s="5" t="s">
        <v>26</v>
      </c>
      <c r="D128" s="6" t="n">
        <v>24</v>
      </c>
      <c r="E128" s="6" t="n">
        <v>23</v>
      </c>
      <c r="F128" s="6" t="n">
        <v>31</v>
      </c>
      <c r="G128" s="6" t="n">
        <v>35</v>
      </c>
      <c r="H128" s="6" t="n">
        <v>38</v>
      </c>
      <c r="I128" s="6" t="n">
        <v>68</v>
      </c>
      <c r="J128" s="6" t="n">
        <v>32</v>
      </c>
      <c r="K128" s="7" t="n">
        <f aca="false">SUM(D128:J128)</f>
        <v>251</v>
      </c>
    </row>
    <row r="129" customFormat="false" ht="15" hidden="false" customHeight="false" outlineLevel="0" collapsed="false">
      <c r="A129" s="42"/>
      <c r="B129" s="42"/>
      <c r="C129" s="44" t="s">
        <v>14</v>
      </c>
      <c r="D129" s="9" t="n">
        <v>19.6</v>
      </c>
      <c r="E129" s="9" t="n">
        <v>23</v>
      </c>
      <c r="F129" s="9" t="n">
        <v>30.8</v>
      </c>
      <c r="G129" s="9" t="n">
        <v>35.5</v>
      </c>
      <c r="H129" s="9" t="n">
        <v>42.9</v>
      </c>
      <c r="I129" s="9" t="n">
        <v>97.7</v>
      </c>
      <c r="J129" s="9" t="n">
        <v>38.8</v>
      </c>
      <c r="K129" s="10" t="n">
        <f aca="false">SUM(D129:J129)</f>
        <v>288.3</v>
      </c>
    </row>
    <row r="130" customFormat="false" ht="15" hidden="false" customHeight="false" outlineLevel="0" collapsed="false">
      <c r="A130" s="42"/>
      <c r="B130" s="42"/>
      <c r="C130" s="11" t="s">
        <v>41</v>
      </c>
      <c r="D130" s="14" t="n">
        <f aca="false">IFERROR((D129-D128)/D128,0)</f>
        <v>-0.183333333333333</v>
      </c>
      <c r="E130" s="14" t="n">
        <f aca="false">IFERROR((E129-E128)/E128,0)</f>
        <v>0</v>
      </c>
      <c r="F130" s="14" t="n">
        <f aca="false">IFERROR((F129-F128)/F128,0)</f>
        <v>-0.00645161290322578</v>
      </c>
      <c r="G130" s="14" t="n">
        <f aca="false">IFERROR((G129-G128)/G128,0)</f>
        <v>0.0142857142857143</v>
      </c>
      <c r="H130" s="14" t="n">
        <f aca="false">IFERROR((H129-H128)/H128,0)</f>
        <v>0.128947368421053</v>
      </c>
      <c r="I130" s="14" t="n">
        <f aca="false">IFERROR((I129-I128)/I128,0)</f>
        <v>0.436764705882353</v>
      </c>
      <c r="J130" s="14" t="n">
        <f aca="false">IFERROR((J129-J128)/J128,0)</f>
        <v>0.2125</v>
      </c>
      <c r="K130" s="15" t="n">
        <f aca="false">IFERROR((SUM(D129:J129)-SUM(D128:J128))/SUM(D128:J128),0)</f>
        <v>0.148605577689243</v>
      </c>
    </row>
    <row r="131" customFormat="false" ht="15" hidden="false" customHeight="true" outlineLevel="0" collapsed="false">
      <c r="A131" s="42" t="s">
        <v>210</v>
      </c>
      <c r="B131" s="43" t="s">
        <v>211</v>
      </c>
      <c r="C131" s="5" t="s">
        <v>26</v>
      </c>
      <c r="D131" s="6" t="n">
        <v>13</v>
      </c>
      <c r="E131" s="6" t="n">
        <v>11</v>
      </c>
      <c r="F131" s="6" t="n">
        <v>21</v>
      </c>
      <c r="G131" s="6" t="n">
        <v>38</v>
      </c>
      <c r="H131" s="6" t="n">
        <v>47</v>
      </c>
      <c r="I131" s="6" t="n">
        <v>83</v>
      </c>
      <c r="J131" s="6" t="n">
        <v>37</v>
      </c>
      <c r="K131" s="7" t="n">
        <f aca="false">SUM(D131:J131)</f>
        <v>250</v>
      </c>
    </row>
    <row r="132" customFormat="false" ht="15" hidden="false" customHeight="false" outlineLevel="0" collapsed="false">
      <c r="A132" s="42"/>
      <c r="B132" s="42"/>
      <c r="C132" s="44" t="s">
        <v>14</v>
      </c>
      <c r="D132" s="9" t="n">
        <v>16.5</v>
      </c>
      <c r="E132" s="9" t="n">
        <v>18</v>
      </c>
      <c r="F132" s="9" t="n">
        <v>24.7</v>
      </c>
      <c r="G132" s="9" t="n">
        <v>25.3</v>
      </c>
      <c r="H132" s="9" t="n">
        <v>32.3</v>
      </c>
      <c r="I132" s="9" t="n">
        <v>92.4</v>
      </c>
      <c r="J132" s="9" t="n">
        <v>35.9</v>
      </c>
      <c r="K132" s="10" t="n">
        <f aca="false">SUM(D132:J132)</f>
        <v>245.1</v>
      </c>
    </row>
    <row r="133" customFormat="false" ht="15" hidden="false" customHeight="false" outlineLevel="0" collapsed="false">
      <c r="A133" s="42"/>
      <c r="B133" s="42"/>
      <c r="C133" s="11" t="s">
        <v>41</v>
      </c>
      <c r="D133" s="14" t="n">
        <f aca="false">IFERROR((D132-D131)/D131,0)</f>
        <v>0.269230769230769</v>
      </c>
      <c r="E133" s="14" t="n">
        <f aca="false">IFERROR((E132-E131)/E131,0)</f>
        <v>0.636363636363636</v>
      </c>
      <c r="F133" s="14" t="n">
        <f aca="false">IFERROR((F132-F131)/F131,0)</f>
        <v>0.176190476190476</v>
      </c>
      <c r="G133" s="14" t="n">
        <f aca="false">IFERROR((G132-G131)/G131,0)</f>
        <v>-0.334210526315789</v>
      </c>
      <c r="H133" s="14" t="n">
        <f aca="false">IFERROR((H132-H131)/H131,0)</f>
        <v>-0.312765957446809</v>
      </c>
      <c r="I133" s="14" t="n">
        <f aca="false">IFERROR((I132-I131)/I131,0)</f>
        <v>0.113253012048193</v>
      </c>
      <c r="J133" s="14" t="n">
        <f aca="false">IFERROR((J132-J131)/J131,0)</f>
        <v>-0.0297297297297298</v>
      </c>
      <c r="K133" s="15" t="n">
        <f aca="false">IFERROR((SUM(D132:J132)-SUM(D131:J131))/SUM(D131:J131),0)</f>
        <v>-0.0196</v>
      </c>
    </row>
    <row r="134" customFormat="false" ht="15" hidden="false" customHeight="true" outlineLevel="0" collapsed="false">
      <c r="A134" s="42" t="s">
        <v>212</v>
      </c>
      <c r="B134" s="43" t="s">
        <v>213</v>
      </c>
      <c r="C134" s="5" t="s">
        <v>26</v>
      </c>
      <c r="D134" s="6" t="n">
        <v>19</v>
      </c>
      <c r="E134" s="6" t="n">
        <v>27</v>
      </c>
      <c r="F134" s="6" t="n">
        <v>29</v>
      </c>
      <c r="G134" s="6" t="n">
        <v>22</v>
      </c>
      <c r="H134" s="6" t="n">
        <v>37</v>
      </c>
      <c r="I134" s="6" t="n">
        <v>72</v>
      </c>
      <c r="J134" s="6" t="n">
        <v>44</v>
      </c>
      <c r="K134" s="7" t="n">
        <f aca="false">SUM(D134:J134)</f>
        <v>250</v>
      </c>
    </row>
    <row r="135" customFormat="false" ht="15" hidden="false" customHeight="false" outlineLevel="0" collapsed="false">
      <c r="A135" s="42"/>
      <c r="B135" s="42"/>
      <c r="C135" s="44" t="s">
        <v>14</v>
      </c>
      <c r="D135" s="9" t="n">
        <v>27.8</v>
      </c>
      <c r="E135" s="9" t="n">
        <v>31.9</v>
      </c>
      <c r="F135" s="9" t="n">
        <v>26.6</v>
      </c>
      <c r="G135" s="9" t="n">
        <v>23.2</v>
      </c>
      <c r="H135" s="9" t="n">
        <v>24.1</v>
      </c>
      <c r="I135" s="9" t="n">
        <v>76.6</v>
      </c>
      <c r="J135" s="9" t="n">
        <v>42.4</v>
      </c>
      <c r="K135" s="10" t="n">
        <f aca="false">SUM(D135:J135)</f>
        <v>252.6</v>
      </c>
    </row>
    <row r="136" customFormat="false" ht="15" hidden="false" customHeight="false" outlineLevel="0" collapsed="false">
      <c r="A136" s="42"/>
      <c r="B136" s="42"/>
      <c r="C136" s="11" t="s">
        <v>41</v>
      </c>
      <c r="D136" s="14" t="n">
        <f aca="false">IFERROR((D135-D134)/D134,0)</f>
        <v>0.463157894736842</v>
      </c>
      <c r="E136" s="14" t="n">
        <f aca="false">IFERROR((E135-E134)/E134,0)</f>
        <v>0.181481481481481</v>
      </c>
      <c r="F136" s="14" t="n">
        <f aca="false">IFERROR((F135-F134)/F134,0)</f>
        <v>-0.0827586206896551</v>
      </c>
      <c r="G136" s="14" t="n">
        <f aca="false">IFERROR((G135-G134)/G134,0)</f>
        <v>0.0545454545454545</v>
      </c>
      <c r="H136" s="14" t="n">
        <f aca="false">IFERROR((H135-H134)/H134,0)</f>
        <v>-0.348648648648649</v>
      </c>
      <c r="I136" s="14" t="n">
        <f aca="false">IFERROR((I135-I134)/I134,0)</f>
        <v>0.0638888888888888</v>
      </c>
      <c r="J136" s="14" t="n">
        <f aca="false">IFERROR((J135-J134)/J134,0)</f>
        <v>-0.0363636363636364</v>
      </c>
      <c r="K136" s="15" t="n">
        <f aca="false">IFERROR((SUM(D135:J135)-SUM(D134:J134))/SUM(D134:J134),0)</f>
        <v>0.0104</v>
      </c>
    </row>
    <row r="137" customFormat="false" ht="15" hidden="false" customHeight="true" outlineLevel="0" collapsed="false">
      <c r="A137" s="42" t="s">
        <v>214</v>
      </c>
      <c r="B137" s="43" t="s">
        <v>215</v>
      </c>
      <c r="C137" s="5" t="s">
        <v>26</v>
      </c>
      <c r="D137" s="6" t="n">
        <v>19</v>
      </c>
      <c r="E137" s="6" t="n">
        <v>24</v>
      </c>
      <c r="F137" s="6" t="n">
        <v>11</v>
      </c>
      <c r="G137" s="6" t="n">
        <v>38</v>
      </c>
      <c r="H137" s="6" t="n">
        <v>32</v>
      </c>
      <c r="I137" s="6" t="n">
        <v>80</v>
      </c>
      <c r="J137" s="6" t="n">
        <v>38</v>
      </c>
      <c r="K137" s="7" t="n">
        <f aca="false">SUM(D137:J137)</f>
        <v>242</v>
      </c>
    </row>
    <row r="138" customFormat="false" ht="15" hidden="false" customHeight="false" outlineLevel="0" collapsed="false">
      <c r="A138" s="42"/>
      <c r="B138" s="42"/>
      <c r="C138" s="44" t="s">
        <v>14</v>
      </c>
      <c r="D138" s="9" t="n">
        <v>23</v>
      </c>
      <c r="E138" s="9" t="n">
        <v>25.5</v>
      </c>
      <c r="F138" s="9" t="n">
        <v>23.6</v>
      </c>
      <c r="G138" s="9" t="n">
        <v>24.6</v>
      </c>
      <c r="H138" s="9" t="n">
        <v>32.7</v>
      </c>
      <c r="I138" s="9" t="n">
        <v>69.8</v>
      </c>
      <c r="J138" s="9" t="n">
        <v>47.3</v>
      </c>
      <c r="K138" s="10" t="n">
        <f aca="false">SUM(D138:J138)</f>
        <v>246.5</v>
      </c>
    </row>
    <row r="139" customFormat="false" ht="15" hidden="false" customHeight="false" outlineLevel="0" collapsed="false">
      <c r="A139" s="42"/>
      <c r="B139" s="42"/>
      <c r="C139" s="11" t="s">
        <v>41</v>
      </c>
      <c r="D139" s="14" t="n">
        <f aca="false">IFERROR((D138-D137)/D137,0)</f>
        <v>0.210526315789474</v>
      </c>
      <c r="E139" s="14" t="n">
        <f aca="false">IFERROR((E138-E137)/E137,0)</f>
        <v>0.0625</v>
      </c>
      <c r="F139" s="14" t="n">
        <f aca="false">IFERROR((F138-F137)/F137,0)</f>
        <v>1.14545454545455</v>
      </c>
      <c r="G139" s="14" t="n">
        <f aca="false">IFERROR((G138-G137)/G137,0)</f>
        <v>-0.352631578947368</v>
      </c>
      <c r="H139" s="14" t="n">
        <f aca="false">IFERROR((H138-H137)/H137,0)</f>
        <v>0.0218750000000001</v>
      </c>
      <c r="I139" s="14" t="n">
        <f aca="false">IFERROR((I138-I137)/I137,0)</f>
        <v>-0.1275</v>
      </c>
      <c r="J139" s="14" t="n">
        <f aca="false">IFERROR((J138-J137)/J137,0)</f>
        <v>0.244736842105263</v>
      </c>
      <c r="K139" s="15" t="n">
        <f aca="false">IFERROR((SUM(D138:J138)-SUM(D137:J137))/SUM(D137:J137),0)</f>
        <v>0.0185950413223141</v>
      </c>
    </row>
    <row r="140" customFormat="false" ht="15" hidden="false" customHeight="true" outlineLevel="0" collapsed="false">
      <c r="A140" s="42" t="s">
        <v>216</v>
      </c>
      <c r="B140" s="43" t="s">
        <v>172</v>
      </c>
      <c r="C140" s="5" t="s">
        <v>26</v>
      </c>
      <c r="D140" s="6" t="n">
        <v>23</v>
      </c>
      <c r="E140" s="6" t="n">
        <v>24</v>
      </c>
      <c r="F140" s="6" t="n">
        <v>33</v>
      </c>
      <c r="G140" s="6" t="n">
        <v>37</v>
      </c>
      <c r="H140" s="6" t="n">
        <v>37</v>
      </c>
      <c r="I140" s="6" t="n">
        <v>64</v>
      </c>
      <c r="J140" s="6" t="n">
        <v>21</v>
      </c>
      <c r="K140" s="7" t="n">
        <f aca="false">SUM(D140:J140)</f>
        <v>239</v>
      </c>
    </row>
    <row r="141" customFormat="false" ht="15" hidden="false" customHeight="false" outlineLevel="0" collapsed="false">
      <c r="A141" s="42"/>
      <c r="B141" s="42"/>
      <c r="C141" s="44" t="s">
        <v>14</v>
      </c>
      <c r="D141" s="9" t="n">
        <v>17</v>
      </c>
      <c r="E141" s="9" t="n">
        <v>24.3</v>
      </c>
      <c r="F141" s="9" t="n">
        <v>22.8</v>
      </c>
      <c r="G141" s="9" t="n">
        <v>31.6</v>
      </c>
      <c r="H141" s="9" t="n">
        <v>31.8</v>
      </c>
      <c r="I141" s="9" t="n">
        <v>72.6</v>
      </c>
      <c r="J141" s="9" t="n">
        <v>32.8</v>
      </c>
      <c r="K141" s="10" t="n">
        <f aca="false">SUM(D141:J141)</f>
        <v>232.9</v>
      </c>
    </row>
    <row r="142" customFormat="false" ht="15" hidden="false" customHeight="false" outlineLevel="0" collapsed="false">
      <c r="A142" s="42"/>
      <c r="B142" s="42"/>
      <c r="C142" s="11" t="s">
        <v>41</v>
      </c>
      <c r="D142" s="14" t="n">
        <f aca="false">IFERROR((D141-D140)/D140,0)</f>
        <v>-0.260869565217391</v>
      </c>
      <c r="E142" s="14" t="n">
        <f aca="false">IFERROR((E141-E140)/E140,0)</f>
        <v>0.0125</v>
      </c>
      <c r="F142" s="14" t="n">
        <f aca="false">IFERROR((F141-F140)/F140,0)</f>
        <v>-0.309090909090909</v>
      </c>
      <c r="G142" s="14" t="n">
        <f aca="false">IFERROR((G141-G140)/G140,0)</f>
        <v>-0.145945945945946</v>
      </c>
      <c r="H142" s="14" t="n">
        <f aca="false">IFERROR((H141-H140)/H140,0)</f>
        <v>-0.140540540540541</v>
      </c>
      <c r="I142" s="14" t="n">
        <f aca="false">IFERROR((I141-I140)/I140,0)</f>
        <v>0.134375</v>
      </c>
      <c r="J142" s="14" t="n">
        <f aca="false">IFERROR((J141-J140)/J140,0)</f>
        <v>0.561904761904762</v>
      </c>
      <c r="K142" s="15" t="n">
        <f aca="false">IFERROR((SUM(D141:J141)-SUM(D140:J140))/SUM(D140:J140),0)</f>
        <v>-0.0255230125523014</v>
      </c>
    </row>
    <row r="143" customFormat="false" ht="15" hidden="false" customHeight="true" outlineLevel="0" collapsed="false">
      <c r="A143" s="42" t="s">
        <v>217</v>
      </c>
      <c r="B143" s="43" t="s">
        <v>218</v>
      </c>
      <c r="C143" s="5" t="s">
        <v>26</v>
      </c>
      <c r="D143" s="6" t="n">
        <v>18</v>
      </c>
      <c r="E143" s="6" t="n">
        <v>11</v>
      </c>
      <c r="F143" s="6" t="n">
        <v>20</v>
      </c>
      <c r="G143" s="6" t="n">
        <v>35</v>
      </c>
      <c r="H143" s="6" t="n">
        <v>57</v>
      </c>
      <c r="I143" s="6" t="n">
        <v>59</v>
      </c>
      <c r="J143" s="6" t="n">
        <v>38</v>
      </c>
      <c r="K143" s="7" t="n">
        <f aca="false">SUM(D143:J143)</f>
        <v>238</v>
      </c>
    </row>
    <row r="144" customFormat="false" ht="15" hidden="false" customHeight="false" outlineLevel="0" collapsed="false">
      <c r="A144" s="42"/>
      <c r="B144" s="42"/>
      <c r="C144" s="44" t="s">
        <v>14</v>
      </c>
      <c r="D144" s="9" t="n">
        <v>22.1</v>
      </c>
      <c r="E144" s="9" t="n">
        <v>18.8</v>
      </c>
      <c r="F144" s="9" t="n">
        <v>19.6</v>
      </c>
      <c r="G144" s="9" t="n">
        <v>25.5</v>
      </c>
      <c r="H144" s="9" t="n">
        <v>27.6</v>
      </c>
      <c r="I144" s="9" t="n">
        <v>67.5</v>
      </c>
      <c r="J144" s="9" t="n">
        <v>44.2</v>
      </c>
      <c r="K144" s="10" t="n">
        <f aca="false">SUM(D144:J144)</f>
        <v>225.3</v>
      </c>
    </row>
    <row r="145" customFormat="false" ht="15" hidden="false" customHeight="false" outlineLevel="0" collapsed="false">
      <c r="A145" s="42"/>
      <c r="B145" s="42"/>
      <c r="C145" s="11" t="s">
        <v>41</v>
      </c>
      <c r="D145" s="14" t="n">
        <f aca="false">IFERROR((D144-D143)/D143,0)</f>
        <v>0.227777777777778</v>
      </c>
      <c r="E145" s="14" t="n">
        <f aca="false">IFERROR((E144-E143)/E143,0)</f>
        <v>0.709090909090909</v>
      </c>
      <c r="F145" s="14" t="n">
        <f aca="false">IFERROR((F144-F143)/F143,0)</f>
        <v>-0.0199999999999999</v>
      </c>
      <c r="G145" s="14" t="n">
        <f aca="false">IFERROR((G144-G143)/G143,0)</f>
        <v>-0.271428571428571</v>
      </c>
      <c r="H145" s="14" t="n">
        <f aca="false">IFERROR((H144-H143)/H143,0)</f>
        <v>-0.515789473684211</v>
      </c>
      <c r="I145" s="14" t="n">
        <f aca="false">IFERROR((I144-I143)/I143,0)</f>
        <v>0.14406779661017</v>
      </c>
      <c r="J145" s="14" t="n">
        <f aca="false">IFERROR((J144-J143)/J143,0)</f>
        <v>0.163157894736842</v>
      </c>
      <c r="K145" s="15" t="n">
        <f aca="false">IFERROR((SUM(D144:J144)-SUM(D143:J143))/SUM(D143:J143),0)</f>
        <v>-0.0533613445378151</v>
      </c>
    </row>
    <row r="146" customFormat="false" ht="15" hidden="false" customHeight="true" outlineLevel="0" collapsed="false">
      <c r="A146" s="42" t="s">
        <v>219</v>
      </c>
      <c r="B146" s="43" t="s">
        <v>220</v>
      </c>
      <c r="C146" s="5" t="s">
        <v>26</v>
      </c>
      <c r="D146" s="6" t="n">
        <v>25</v>
      </c>
      <c r="E146" s="6" t="n">
        <v>20</v>
      </c>
      <c r="F146" s="6" t="n">
        <v>32</v>
      </c>
      <c r="G146" s="6" t="n">
        <v>34</v>
      </c>
      <c r="H146" s="6" t="n">
        <v>27</v>
      </c>
      <c r="I146" s="6" t="n">
        <v>71</v>
      </c>
      <c r="J146" s="6" t="n">
        <v>28</v>
      </c>
      <c r="K146" s="7" t="n">
        <f aca="false">SUM(D146:J146)</f>
        <v>237</v>
      </c>
    </row>
    <row r="147" customFormat="false" ht="15" hidden="false" customHeight="false" outlineLevel="0" collapsed="false">
      <c r="A147" s="42"/>
      <c r="B147" s="42"/>
      <c r="C147" s="44" t="s">
        <v>14</v>
      </c>
      <c r="D147" s="9" t="n">
        <v>14.7</v>
      </c>
      <c r="E147" s="9" t="n">
        <v>20.6</v>
      </c>
      <c r="F147" s="9" t="n">
        <v>26</v>
      </c>
      <c r="G147" s="9" t="n">
        <v>28</v>
      </c>
      <c r="H147" s="9" t="n">
        <v>24.7</v>
      </c>
      <c r="I147" s="9" t="n">
        <v>68.1</v>
      </c>
      <c r="J147" s="9" t="n">
        <v>38.4</v>
      </c>
      <c r="K147" s="10" t="n">
        <f aca="false">SUM(D147:J147)</f>
        <v>220.5</v>
      </c>
    </row>
    <row r="148" customFormat="false" ht="15" hidden="false" customHeight="false" outlineLevel="0" collapsed="false">
      <c r="A148" s="42"/>
      <c r="B148" s="42"/>
      <c r="C148" s="11" t="s">
        <v>41</v>
      </c>
      <c r="D148" s="14" t="n">
        <f aca="false">IFERROR((D147-D146)/D146,0)</f>
        <v>-0.412</v>
      </c>
      <c r="E148" s="14" t="n">
        <f aca="false">IFERROR((E147-E146)/E146,0)</f>
        <v>0.0300000000000001</v>
      </c>
      <c r="F148" s="14" t="n">
        <f aca="false">IFERROR((F147-F146)/F146,0)</f>
        <v>-0.1875</v>
      </c>
      <c r="G148" s="14" t="n">
        <f aca="false">IFERROR((G147-G146)/G146,0)</f>
        <v>-0.176470588235294</v>
      </c>
      <c r="H148" s="14" t="n">
        <f aca="false">IFERROR((H147-H146)/H146,0)</f>
        <v>-0.0851851851851852</v>
      </c>
      <c r="I148" s="14" t="n">
        <f aca="false">IFERROR((I147-I146)/I146,0)</f>
        <v>-0.0408450704225353</v>
      </c>
      <c r="J148" s="14" t="n">
        <f aca="false">IFERROR((J147-J146)/J146,0)</f>
        <v>0.371428571428571</v>
      </c>
      <c r="K148" s="15" t="n">
        <f aca="false">IFERROR((SUM(D147:J147)-SUM(D146:J146))/SUM(D146:J146),0)</f>
        <v>-0.069620253164557</v>
      </c>
    </row>
    <row r="149" customFormat="false" ht="15" hidden="false" customHeight="true" outlineLevel="0" collapsed="false">
      <c r="A149" s="42" t="s">
        <v>221</v>
      </c>
      <c r="B149" s="43" t="s">
        <v>142</v>
      </c>
      <c r="C149" s="5" t="s">
        <v>26</v>
      </c>
      <c r="D149" s="6" t="n">
        <v>34</v>
      </c>
      <c r="E149" s="6" t="n">
        <v>24</v>
      </c>
      <c r="F149" s="6" t="n">
        <v>19</v>
      </c>
      <c r="G149" s="6" t="n">
        <v>40</v>
      </c>
      <c r="H149" s="6" t="n">
        <v>31</v>
      </c>
      <c r="I149" s="6" t="n">
        <v>64</v>
      </c>
      <c r="J149" s="6" t="n">
        <v>23</v>
      </c>
      <c r="K149" s="7" t="n">
        <f aca="false">SUM(D149:J149)</f>
        <v>235</v>
      </c>
    </row>
    <row r="150" customFormat="false" ht="15" hidden="false" customHeight="false" outlineLevel="0" collapsed="false">
      <c r="A150" s="42"/>
      <c r="B150" s="42"/>
      <c r="C150" s="44" t="s">
        <v>14</v>
      </c>
      <c r="D150" s="9" t="n">
        <v>50.7</v>
      </c>
      <c r="E150" s="9" t="n">
        <v>43.7</v>
      </c>
      <c r="F150" s="9" t="n">
        <v>35.3</v>
      </c>
      <c r="G150" s="9" t="n">
        <v>34.4</v>
      </c>
      <c r="H150" s="9" t="n">
        <v>40.6</v>
      </c>
      <c r="I150" s="9" t="n">
        <v>73.6</v>
      </c>
      <c r="J150" s="9" t="n">
        <v>30.2</v>
      </c>
      <c r="K150" s="10" t="n">
        <f aca="false">SUM(D150:J150)</f>
        <v>308.5</v>
      </c>
    </row>
    <row r="151" customFormat="false" ht="15" hidden="false" customHeight="false" outlineLevel="0" collapsed="false">
      <c r="A151" s="42"/>
      <c r="B151" s="42"/>
      <c r="C151" s="11" t="s">
        <v>41</v>
      </c>
      <c r="D151" s="14" t="n">
        <f aca="false">IFERROR((D150-D149)/D149,0)</f>
        <v>0.491176470588235</v>
      </c>
      <c r="E151" s="14" t="n">
        <f aca="false">IFERROR((E150-E149)/E149,0)</f>
        <v>0.820833333333333</v>
      </c>
      <c r="F151" s="14" t="n">
        <f aca="false">IFERROR((F150-F149)/F149,0)</f>
        <v>0.857894736842105</v>
      </c>
      <c r="G151" s="14" t="n">
        <f aca="false">IFERROR((G150-G149)/G149,0)</f>
        <v>-0.14</v>
      </c>
      <c r="H151" s="14" t="n">
        <f aca="false">IFERROR((H150-H149)/H149,0)</f>
        <v>0.309677419354839</v>
      </c>
      <c r="I151" s="14" t="n">
        <f aca="false">IFERROR((I150-I149)/I149,0)</f>
        <v>0.15</v>
      </c>
      <c r="J151" s="14" t="n">
        <f aca="false">IFERROR((J150-J149)/J149,0)</f>
        <v>0.31304347826087</v>
      </c>
      <c r="K151" s="15" t="n">
        <f aca="false">IFERROR((SUM(D150:J150)-SUM(D149:J149))/SUM(D149:J149),0)</f>
        <v>0.312765957446809</v>
      </c>
    </row>
    <row r="152" customFormat="false" ht="15" hidden="false" customHeight="true" outlineLevel="0" collapsed="false">
      <c r="A152" s="42" t="s">
        <v>222</v>
      </c>
      <c r="B152" s="43" t="s">
        <v>223</v>
      </c>
      <c r="C152" s="5" t="s">
        <v>26</v>
      </c>
      <c r="D152" s="6" t="n">
        <v>28</v>
      </c>
      <c r="E152" s="6" t="n">
        <v>37</v>
      </c>
      <c r="F152" s="6" t="n">
        <v>68</v>
      </c>
      <c r="G152" s="6" t="n">
        <v>61</v>
      </c>
      <c r="H152" s="6" t="n">
        <v>18</v>
      </c>
      <c r="I152" s="6" t="n">
        <v>16</v>
      </c>
      <c r="J152" s="6" t="n">
        <v>6</v>
      </c>
      <c r="K152" s="7" t="n">
        <f aca="false">SUM(D152:J152)</f>
        <v>234</v>
      </c>
    </row>
    <row r="153" customFormat="false" ht="15" hidden="false" customHeight="false" outlineLevel="0" collapsed="false">
      <c r="A153" s="42"/>
      <c r="B153" s="42"/>
      <c r="C153" s="44" t="s">
        <v>14</v>
      </c>
      <c r="D153" s="9" t="n">
        <v>29.8</v>
      </c>
      <c r="E153" s="9" t="n">
        <v>25.5</v>
      </c>
      <c r="F153" s="9" t="n">
        <v>31.8</v>
      </c>
      <c r="G153" s="9" t="n">
        <v>35.6</v>
      </c>
      <c r="H153" s="9" t="n">
        <v>25.6</v>
      </c>
      <c r="I153" s="9" t="n">
        <v>39.7</v>
      </c>
      <c r="J153" s="9" t="n">
        <v>14.8</v>
      </c>
      <c r="K153" s="10" t="n">
        <f aca="false">SUM(D153:J153)</f>
        <v>202.8</v>
      </c>
    </row>
    <row r="154" customFormat="false" ht="15" hidden="false" customHeight="false" outlineLevel="0" collapsed="false">
      <c r="A154" s="42"/>
      <c r="B154" s="42"/>
      <c r="C154" s="11" t="s">
        <v>41</v>
      </c>
      <c r="D154" s="14" t="n">
        <f aca="false">IFERROR((D153-D152)/D152,0)</f>
        <v>0.0642857142857143</v>
      </c>
      <c r="E154" s="14" t="n">
        <f aca="false">IFERROR((E153-E152)/E152,0)</f>
        <v>-0.310810810810811</v>
      </c>
      <c r="F154" s="14" t="n">
        <f aca="false">IFERROR((F153-F152)/F152,0)</f>
        <v>-0.532352941176471</v>
      </c>
      <c r="G154" s="14" t="n">
        <f aca="false">IFERROR((G153-G152)/G152,0)</f>
        <v>-0.416393442622951</v>
      </c>
      <c r="H154" s="14" t="n">
        <f aca="false">IFERROR((H153-H152)/H152,0)</f>
        <v>0.422222222222222</v>
      </c>
      <c r="I154" s="14" t="n">
        <f aca="false">IFERROR((I153-I152)/I152,0)</f>
        <v>1.48125</v>
      </c>
      <c r="J154" s="14" t="n">
        <f aca="false">IFERROR((J153-J152)/J152,0)</f>
        <v>1.46666666666667</v>
      </c>
      <c r="K154" s="15" t="n">
        <f aca="false">IFERROR((SUM(D153:J153)-SUM(D152:J152))/SUM(D152:J152),0)</f>
        <v>-0.133333333333333</v>
      </c>
    </row>
    <row r="155" customFormat="false" ht="15" hidden="false" customHeight="true" outlineLevel="0" collapsed="false">
      <c r="A155" s="42" t="s">
        <v>224</v>
      </c>
      <c r="B155" s="43" t="s">
        <v>225</v>
      </c>
      <c r="C155" s="5" t="s">
        <v>26</v>
      </c>
      <c r="D155" s="6" t="n">
        <v>21</v>
      </c>
      <c r="E155" s="6" t="n">
        <v>19</v>
      </c>
      <c r="F155" s="6" t="n">
        <v>11</v>
      </c>
      <c r="G155" s="6" t="n">
        <v>26</v>
      </c>
      <c r="H155" s="6" t="n">
        <v>41</v>
      </c>
      <c r="I155" s="6" t="n">
        <v>77</v>
      </c>
      <c r="J155" s="6" t="n">
        <v>39</v>
      </c>
      <c r="K155" s="7" t="n">
        <f aca="false">SUM(D155:J155)</f>
        <v>234</v>
      </c>
    </row>
    <row r="156" customFormat="false" ht="15" hidden="false" customHeight="false" outlineLevel="0" collapsed="false">
      <c r="A156" s="42"/>
      <c r="B156" s="42"/>
      <c r="C156" s="44" t="s">
        <v>14</v>
      </c>
      <c r="D156" s="9" t="n">
        <v>14.9</v>
      </c>
      <c r="E156" s="9" t="n">
        <v>20.2</v>
      </c>
      <c r="F156" s="9" t="n">
        <v>21.6</v>
      </c>
      <c r="G156" s="9" t="n">
        <v>25.1</v>
      </c>
      <c r="H156" s="9" t="n">
        <v>30.3</v>
      </c>
      <c r="I156" s="9" t="n">
        <v>96.4</v>
      </c>
      <c r="J156" s="9" t="n">
        <v>50.2</v>
      </c>
      <c r="K156" s="10" t="n">
        <f aca="false">SUM(D156:J156)</f>
        <v>258.7</v>
      </c>
    </row>
    <row r="157" customFormat="false" ht="15" hidden="false" customHeight="false" outlineLevel="0" collapsed="false">
      <c r="A157" s="42"/>
      <c r="B157" s="42"/>
      <c r="C157" s="11" t="s">
        <v>41</v>
      </c>
      <c r="D157" s="14" t="n">
        <f aca="false">IFERROR((D156-D155)/D155,0)</f>
        <v>-0.29047619047619</v>
      </c>
      <c r="E157" s="14" t="n">
        <f aca="false">IFERROR((E156-E155)/E155,0)</f>
        <v>0.0631578947368421</v>
      </c>
      <c r="F157" s="14" t="n">
        <f aca="false">IFERROR((F156-F155)/F155,0)</f>
        <v>0.963636363636364</v>
      </c>
      <c r="G157" s="14" t="n">
        <f aca="false">IFERROR((G156-G155)/G155,0)</f>
        <v>-0.0346153846153846</v>
      </c>
      <c r="H157" s="14" t="n">
        <f aca="false">IFERROR((H156-H155)/H155,0)</f>
        <v>-0.260975609756098</v>
      </c>
      <c r="I157" s="14" t="n">
        <f aca="false">IFERROR((I156-I155)/I155,0)</f>
        <v>0.251948051948052</v>
      </c>
      <c r="J157" s="14" t="n">
        <f aca="false">IFERROR((J156-J155)/J155,0)</f>
        <v>0.287179487179487</v>
      </c>
      <c r="K157" s="15" t="n">
        <f aca="false">IFERROR((SUM(D156:J156)-SUM(D155:J155))/SUM(D155:J155),0)</f>
        <v>0.105555555555556</v>
      </c>
    </row>
    <row r="158" customFormat="false" ht="15" hidden="false" customHeight="true" outlineLevel="0" collapsed="false">
      <c r="A158" s="42" t="s">
        <v>226</v>
      </c>
      <c r="B158" s="43" t="s">
        <v>227</v>
      </c>
      <c r="C158" s="5" t="s">
        <v>26</v>
      </c>
      <c r="D158" s="6" t="n">
        <v>16</v>
      </c>
      <c r="E158" s="6" t="n">
        <v>20</v>
      </c>
      <c r="F158" s="6" t="n">
        <v>9</v>
      </c>
      <c r="G158" s="6" t="n">
        <v>25</v>
      </c>
      <c r="H158" s="6" t="n">
        <v>30</v>
      </c>
      <c r="I158" s="6" t="n">
        <v>95</v>
      </c>
      <c r="J158" s="6" t="n">
        <v>38</v>
      </c>
      <c r="K158" s="7" t="n">
        <f aca="false">SUM(D158:J158)</f>
        <v>233</v>
      </c>
    </row>
    <row r="159" customFormat="false" ht="15" hidden="false" customHeight="false" outlineLevel="0" collapsed="false">
      <c r="A159" s="42"/>
      <c r="B159" s="42"/>
      <c r="C159" s="44" t="s">
        <v>14</v>
      </c>
      <c r="D159" s="9" t="n">
        <v>19.4</v>
      </c>
      <c r="E159" s="9" t="n">
        <v>18.4</v>
      </c>
      <c r="F159" s="9" t="n">
        <v>22.5</v>
      </c>
      <c r="G159" s="9" t="n">
        <v>22.5</v>
      </c>
      <c r="H159" s="9" t="n">
        <v>29.5</v>
      </c>
      <c r="I159" s="9" t="n">
        <v>78.3</v>
      </c>
      <c r="J159" s="9" t="n">
        <v>42.3</v>
      </c>
      <c r="K159" s="10" t="n">
        <f aca="false">SUM(D159:J159)</f>
        <v>232.9</v>
      </c>
    </row>
    <row r="160" customFormat="false" ht="15" hidden="false" customHeight="false" outlineLevel="0" collapsed="false">
      <c r="A160" s="42"/>
      <c r="B160" s="42"/>
      <c r="C160" s="11" t="s">
        <v>41</v>
      </c>
      <c r="D160" s="14" t="n">
        <f aca="false">IFERROR((D159-D158)/D158,0)</f>
        <v>0.2125</v>
      </c>
      <c r="E160" s="14" t="n">
        <f aca="false">IFERROR((E159-E158)/E158,0)</f>
        <v>-0.0800000000000001</v>
      </c>
      <c r="F160" s="14" t="n">
        <f aca="false">IFERROR((F159-F158)/F158,0)</f>
        <v>1.5</v>
      </c>
      <c r="G160" s="14" t="n">
        <f aca="false">IFERROR((G159-G158)/G158,0)</f>
        <v>-0.1</v>
      </c>
      <c r="H160" s="14" t="n">
        <f aca="false">IFERROR((H159-H158)/H158,0)</f>
        <v>-0.0166666666666667</v>
      </c>
      <c r="I160" s="14" t="n">
        <f aca="false">IFERROR((I159-I158)/I158,0)</f>
        <v>-0.175789473684211</v>
      </c>
      <c r="J160" s="14" t="n">
        <f aca="false">IFERROR((J159-J158)/J158,0)</f>
        <v>0.113157894736842</v>
      </c>
      <c r="K160" s="15" t="n">
        <f aca="false">IFERROR((SUM(D159:J159)-SUM(D158:J158))/SUM(D158:J158),0)</f>
        <v>-0.000429184549356321</v>
      </c>
    </row>
    <row r="161" customFormat="false" ht="15" hidden="false" customHeight="true" outlineLevel="0" collapsed="false">
      <c r="A161" s="42" t="s">
        <v>228</v>
      </c>
      <c r="B161" s="43" t="s">
        <v>229</v>
      </c>
      <c r="C161" s="5" t="s">
        <v>26</v>
      </c>
      <c r="D161" s="6" t="n">
        <v>21</v>
      </c>
      <c r="E161" s="6" t="n">
        <v>20</v>
      </c>
      <c r="F161" s="6" t="n">
        <v>22</v>
      </c>
      <c r="G161" s="6" t="n">
        <v>22</v>
      </c>
      <c r="H161" s="6" t="n">
        <v>36</v>
      </c>
      <c r="I161" s="6" t="n">
        <v>76</v>
      </c>
      <c r="J161" s="6" t="n">
        <v>35</v>
      </c>
      <c r="K161" s="7" t="n">
        <f aca="false">SUM(D161:J161)</f>
        <v>232</v>
      </c>
    </row>
    <row r="162" customFormat="false" ht="15" hidden="false" customHeight="false" outlineLevel="0" collapsed="false">
      <c r="A162" s="42"/>
      <c r="B162" s="42"/>
      <c r="C162" s="44" t="s">
        <v>14</v>
      </c>
      <c r="D162" s="9" t="n">
        <v>22.8</v>
      </c>
      <c r="E162" s="9" t="n">
        <v>22.8</v>
      </c>
      <c r="F162" s="9" t="n">
        <v>21.2</v>
      </c>
      <c r="G162" s="9" t="n">
        <v>20.6</v>
      </c>
      <c r="H162" s="9" t="n">
        <v>24.7</v>
      </c>
      <c r="I162" s="9" t="n">
        <v>55.2</v>
      </c>
      <c r="J162" s="9" t="n">
        <v>37.4</v>
      </c>
      <c r="K162" s="10" t="n">
        <f aca="false">SUM(D162:J162)</f>
        <v>204.7</v>
      </c>
    </row>
    <row r="163" customFormat="false" ht="15" hidden="false" customHeight="false" outlineLevel="0" collapsed="false">
      <c r="A163" s="42"/>
      <c r="B163" s="42"/>
      <c r="C163" s="11" t="s">
        <v>41</v>
      </c>
      <c r="D163" s="14" t="n">
        <f aca="false">IFERROR((D162-D161)/D161,0)</f>
        <v>0.0857142857142857</v>
      </c>
      <c r="E163" s="14" t="n">
        <f aca="false">IFERROR((E162-E161)/E161,0)</f>
        <v>0.14</v>
      </c>
      <c r="F163" s="14" t="n">
        <f aca="false">IFERROR((F162-F161)/F161,0)</f>
        <v>-0.0363636363636364</v>
      </c>
      <c r="G163" s="14" t="n">
        <f aca="false">IFERROR((G162-G161)/G161,0)</f>
        <v>-0.0636363636363636</v>
      </c>
      <c r="H163" s="14" t="n">
        <f aca="false">IFERROR((H162-H161)/H161,0)</f>
        <v>-0.313888888888889</v>
      </c>
      <c r="I163" s="14" t="n">
        <f aca="false">IFERROR((I162-I161)/I161,0)</f>
        <v>-0.273684210526316</v>
      </c>
      <c r="J163" s="14" t="n">
        <f aca="false">IFERROR((J162-J161)/J161,0)</f>
        <v>0.0685714285714285</v>
      </c>
      <c r="K163" s="15" t="n">
        <f aca="false">IFERROR((SUM(D162:J162)-SUM(D161:J161))/SUM(D161:J161),0)</f>
        <v>-0.117672413793103</v>
      </c>
    </row>
    <row r="164" customFormat="false" ht="15" hidden="false" customHeight="true" outlineLevel="0" collapsed="false">
      <c r="A164" s="42" t="s">
        <v>230</v>
      </c>
      <c r="B164" s="43" t="s">
        <v>231</v>
      </c>
      <c r="C164" s="5" t="s">
        <v>26</v>
      </c>
      <c r="D164" s="6" t="n">
        <v>19</v>
      </c>
      <c r="E164" s="6" t="n">
        <v>13</v>
      </c>
      <c r="F164" s="6" t="n">
        <v>17</v>
      </c>
      <c r="G164" s="6" t="n">
        <v>25</v>
      </c>
      <c r="H164" s="6" t="n">
        <v>34</v>
      </c>
      <c r="I164" s="6" t="n">
        <v>84</v>
      </c>
      <c r="J164" s="6" t="n">
        <v>27</v>
      </c>
      <c r="K164" s="7" t="n">
        <f aca="false">SUM(D164:J164)</f>
        <v>219</v>
      </c>
    </row>
    <row r="165" customFormat="false" ht="15" hidden="false" customHeight="false" outlineLevel="0" collapsed="false">
      <c r="A165" s="42"/>
      <c r="B165" s="42"/>
      <c r="C165" s="44" t="s">
        <v>14</v>
      </c>
      <c r="D165" s="9" t="n">
        <v>28.6</v>
      </c>
      <c r="E165" s="9" t="n">
        <v>27.1</v>
      </c>
      <c r="F165" s="9" t="n">
        <v>24.3</v>
      </c>
      <c r="G165" s="9" t="n">
        <v>31.8</v>
      </c>
      <c r="H165" s="9" t="n">
        <v>38.7</v>
      </c>
      <c r="I165" s="9" t="n">
        <v>99.9</v>
      </c>
      <c r="J165" s="9" t="n">
        <v>40.5</v>
      </c>
      <c r="K165" s="10" t="n">
        <f aca="false">SUM(D165:J165)</f>
        <v>290.9</v>
      </c>
    </row>
    <row r="166" customFormat="false" ht="15" hidden="false" customHeight="false" outlineLevel="0" collapsed="false">
      <c r="A166" s="42"/>
      <c r="B166" s="42"/>
      <c r="C166" s="11" t="s">
        <v>41</v>
      </c>
      <c r="D166" s="14" t="n">
        <f aca="false">IFERROR((D165-D164)/D164,0)</f>
        <v>0.505263157894737</v>
      </c>
      <c r="E166" s="14" t="n">
        <f aca="false">IFERROR((E165-E164)/E164,0)</f>
        <v>1.08461538461538</v>
      </c>
      <c r="F166" s="14" t="n">
        <f aca="false">IFERROR((F165-F164)/F164,0)</f>
        <v>0.429411764705882</v>
      </c>
      <c r="G166" s="14" t="n">
        <f aca="false">IFERROR((G165-G164)/G164,0)</f>
        <v>0.272</v>
      </c>
      <c r="H166" s="14" t="n">
        <f aca="false">IFERROR((H165-H164)/H164,0)</f>
        <v>0.138235294117647</v>
      </c>
      <c r="I166" s="14" t="n">
        <f aca="false">IFERROR((I165-I164)/I164,0)</f>
        <v>0.189285714285714</v>
      </c>
      <c r="J166" s="14" t="n">
        <f aca="false">IFERROR((J165-J164)/J164,0)</f>
        <v>0.5</v>
      </c>
      <c r="K166" s="15" t="n">
        <f aca="false">IFERROR((SUM(D165:J165)-SUM(D164:J164))/SUM(D164:J164),0)</f>
        <v>0.328310502283105</v>
      </c>
    </row>
    <row r="167" customFormat="false" ht="15" hidden="false" customHeight="true" outlineLevel="0" collapsed="false">
      <c r="A167" s="42" t="s">
        <v>232</v>
      </c>
      <c r="B167" s="43" t="s">
        <v>233</v>
      </c>
      <c r="C167" s="5" t="s">
        <v>26</v>
      </c>
      <c r="D167" s="6" t="n">
        <v>30</v>
      </c>
      <c r="E167" s="6" t="n">
        <v>27</v>
      </c>
      <c r="F167" s="6" t="n">
        <v>14</v>
      </c>
      <c r="G167" s="6" t="n">
        <v>42</v>
      </c>
      <c r="H167" s="6" t="n">
        <v>34</v>
      </c>
      <c r="I167" s="6" t="n">
        <v>49</v>
      </c>
      <c r="J167" s="6" t="n">
        <v>22</v>
      </c>
      <c r="K167" s="7" t="n">
        <f aca="false">SUM(D167:J167)</f>
        <v>218</v>
      </c>
    </row>
    <row r="168" customFormat="false" ht="15" hidden="false" customHeight="false" outlineLevel="0" collapsed="false">
      <c r="A168" s="42"/>
      <c r="B168" s="42"/>
      <c r="C168" s="44" t="s">
        <v>14</v>
      </c>
      <c r="D168" s="9" t="n">
        <v>34.4</v>
      </c>
      <c r="E168" s="9" t="n">
        <v>28.2</v>
      </c>
      <c r="F168" s="9" t="n">
        <v>27.1</v>
      </c>
      <c r="G168" s="9" t="n">
        <v>27.1</v>
      </c>
      <c r="H168" s="9" t="n">
        <v>29</v>
      </c>
      <c r="I168" s="9" t="n">
        <v>54.1</v>
      </c>
      <c r="J168" s="9" t="n">
        <v>42.4</v>
      </c>
      <c r="K168" s="10" t="n">
        <f aca="false">SUM(D168:J168)</f>
        <v>242.3</v>
      </c>
    </row>
    <row r="169" customFormat="false" ht="15" hidden="false" customHeight="false" outlineLevel="0" collapsed="false">
      <c r="A169" s="42"/>
      <c r="B169" s="42"/>
      <c r="C169" s="11" t="s">
        <v>41</v>
      </c>
      <c r="D169" s="14" t="n">
        <f aca="false">IFERROR((D168-D167)/D167,0)</f>
        <v>0.146666666666667</v>
      </c>
      <c r="E169" s="14" t="n">
        <f aca="false">IFERROR((E168-E167)/E167,0)</f>
        <v>0.0444444444444444</v>
      </c>
      <c r="F169" s="14" t="n">
        <f aca="false">IFERROR((F168-F167)/F167,0)</f>
        <v>0.935714285714286</v>
      </c>
      <c r="G169" s="14" t="n">
        <f aca="false">IFERROR((G168-G167)/G167,0)</f>
        <v>-0.354761904761905</v>
      </c>
      <c r="H169" s="14" t="n">
        <f aca="false">IFERROR((H168-H167)/H167,0)</f>
        <v>-0.147058823529412</v>
      </c>
      <c r="I169" s="14" t="n">
        <f aca="false">IFERROR((I168-I167)/I167,0)</f>
        <v>0.104081632653061</v>
      </c>
      <c r="J169" s="14" t="n">
        <f aca="false">IFERROR((J168-J167)/J167,0)</f>
        <v>0.927272727272727</v>
      </c>
      <c r="K169" s="15" t="n">
        <f aca="false">IFERROR((SUM(D168:J168)-SUM(D167:J167))/SUM(D167:J167),0)</f>
        <v>0.111467889908257</v>
      </c>
    </row>
    <row r="170" customFormat="false" ht="15" hidden="false" customHeight="true" outlineLevel="0" collapsed="false">
      <c r="A170" s="42" t="s">
        <v>234</v>
      </c>
      <c r="B170" s="43" t="s">
        <v>235</v>
      </c>
      <c r="C170" s="5" t="s">
        <v>26</v>
      </c>
      <c r="D170" s="6" t="n">
        <v>15</v>
      </c>
      <c r="E170" s="6" t="n">
        <v>18</v>
      </c>
      <c r="F170" s="6" t="n">
        <v>12</v>
      </c>
      <c r="G170" s="6" t="n">
        <v>17</v>
      </c>
      <c r="H170" s="6" t="n">
        <v>30</v>
      </c>
      <c r="I170" s="6" t="n">
        <v>86</v>
      </c>
      <c r="J170" s="6" t="n">
        <v>36</v>
      </c>
      <c r="K170" s="7" t="n">
        <f aca="false">SUM(D170:J170)</f>
        <v>214</v>
      </c>
    </row>
    <row r="171" customFormat="false" ht="15" hidden="false" customHeight="false" outlineLevel="0" collapsed="false">
      <c r="A171" s="42"/>
      <c r="B171" s="42"/>
      <c r="C171" s="44" t="s">
        <v>14</v>
      </c>
      <c r="D171" s="9" t="n">
        <v>18.8</v>
      </c>
      <c r="E171" s="9" t="n">
        <v>19.9</v>
      </c>
      <c r="F171" s="9" t="n">
        <v>20.1</v>
      </c>
      <c r="G171" s="9" t="n">
        <v>23.6</v>
      </c>
      <c r="H171" s="9" t="n">
        <v>28.8</v>
      </c>
      <c r="I171" s="9" t="n">
        <v>92.1</v>
      </c>
      <c r="J171" s="9" t="n">
        <v>43.7</v>
      </c>
      <c r="K171" s="10" t="n">
        <f aca="false">SUM(D171:J171)</f>
        <v>247</v>
      </c>
    </row>
    <row r="172" customFormat="false" ht="15" hidden="false" customHeight="false" outlineLevel="0" collapsed="false">
      <c r="A172" s="42"/>
      <c r="B172" s="42"/>
      <c r="C172" s="11" t="s">
        <v>41</v>
      </c>
      <c r="D172" s="14" t="n">
        <f aca="false">IFERROR((D171-D170)/D170,0)</f>
        <v>0.253333333333333</v>
      </c>
      <c r="E172" s="14" t="n">
        <f aca="false">IFERROR((E171-E170)/E170,0)</f>
        <v>0.105555555555555</v>
      </c>
      <c r="F172" s="14" t="n">
        <f aca="false">IFERROR((F171-F170)/F170,0)</f>
        <v>0.675</v>
      </c>
      <c r="G172" s="14" t="n">
        <f aca="false">IFERROR((G171-G170)/G170,0)</f>
        <v>0.388235294117647</v>
      </c>
      <c r="H172" s="14" t="n">
        <f aca="false">IFERROR((H171-H170)/H170,0)</f>
        <v>-0.04</v>
      </c>
      <c r="I172" s="14" t="n">
        <f aca="false">IFERROR((I171-I170)/I170,0)</f>
        <v>0.0709302325581395</v>
      </c>
      <c r="J172" s="14" t="n">
        <f aca="false">IFERROR((J171-J170)/J170,0)</f>
        <v>0.213888888888889</v>
      </c>
      <c r="K172" s="15" t="n">
        <f aca="false">IFERROR((SUM(D171:J171)-SUM(D170:J170))/SUM(D170:J170),0)</f>
        <v>0.154205607476636</v>
      </c>
    </row>
    <row r="173" customFormat="false" ht="15" hidden="false" customHeight="true" outlineLevel="0" collapsed="false">
      <c r="A173" s="42" t="s">
        <v>236</v>
      </c>
      <c r="B173" s="43" t="s">
        <v>172</v>
      </c>
      <c r="C173" s="5" t="s">
        <v>26</v>
      </c>
      <c r="D173" s="6" t="n">
        <v>31</v>
      </c>
      <c r="E173" s="6" t="n">
        <v>23</v>
      </c>
      <c r="F173" s="6" t="n">
        <v>25</v>
      </c>
      <c r="G173" s="6" t="n">
        <v>27</v>
      </c>
      <c r="H173" s="6" t="n">
        <v>36</v>
      </c>
      <c r="I173" s="6" t="n">
        <v>48</v>
      </c>
      <c r="J173" s="6" t="n">
        <v>24</v>
      </c>
      <c r="K173" s="7" t="n">
        <f aca="false">SUM(D173:J173)</f>
        <v>214</v>
      </c>
    </row>
    <row r="174" customFormat="false" ht="15" hidden="false" customHeight="false" outlineLevel="0" collapsed="false">
      <c r="A174" s="42"/>
      <c r="B174" s="42"/>
      <c r="C174" s="44" t="s">
        <v>14</v>
      </c>
      <c r="D174" s="9" t="n">
        <v>20.6</v>
      </c>
      <c r="E174" s="9" t="n">
        <v>26.2</v>
      </c>
      <c r="F174" s="9" t="n">
        <v>25.8</v>
      </c>
      <c r="G174" s="9" t="n">
        <v>34.7</v>
      </c>
      <c r="H174" s="9" t="n">
        <v>31.7</v>
      </c>
      <c r="I174" s="9" t="n">
        <v>75.7</v>
      </c>
      <c r="J174" s="9" t="n">
        <v>41.8</v>
      </c>
      <c r="K174" s="10" t="n">
        <f aca="false">SUM(D174:J174)</f>
        <v>256.5</v>
      </c>
    </row>
    <row r="175" customFormat="false" ht="15" hidden="false" customHeight="false" outlineLevel="0" collapsed="false">
      <c r="A175" s="42"/>
      <c r="B175" s="42"/>
      <c r="C175" s="11" t="s">
        <v>41</v>
      </c>
      <c r="D175" s="14" t="n">
        <f aca="false">IFERROR((D174-D173)/D173,0)</f>
        <v>-0.335483870967742</v>
      </c>
      <c r="E175" s="14" t="n">
        <f aca="false">IFERROR((E174-E173)/E173,0)</f>
        <v>0.139130434782609</v>
      </c>
      <c r="F175" s="14" t="n">
        <f aca="false">IFERROR((F174-F173)/F173,0)</f>
        <v>0.032</v>
      </c>
      <c r="G175" s="14" t="n">
        <f aca="false">IFERROR((G174-G173)/G173,0)</f>
        <v>0.285185185185185</v>
      </c>
      <c r="H175" s="14" t="n">
        <f aca="false">IFERROR((H174-H173)/H173,0)</f>
        <v>-0.119444444444444</v>
      </c>
      <c r="I175" s="14" t="n">
        <f aca="false">IFERROR((I174-I173)/I173,0)</f>
        <v>0.577083333333333</v>
      </c>
      <c r="J175" s="14" t="n">
        <f aca="false">IFERROR((J174-J173)/J173,0)</f>
        <v>0.741666666666667</v>
      </c>
      <c r="K175" s="15" t="n">
        <f aca="false">IFERROR((SUM(D174:J174)-SUM(D173:J173))/SUM(D173:J173),0)</f>
        <v>0.198598130841122</v>
      </c>
    </row>
    <row r="176" customFormat="false" ht="15" hidden="false" customHeight="true" outlineLevel="0" collapsed="false">
      <c r="A176" s="42" t="s">
        <v>237</v>
      </c>
      <c r="B176" s="43" t="s">
        <v>238</v>
      </c>
      <c r="C176" s="5" t="s">
        <v>26</v>
      </c>
      <c r="D176" s="6" t="n">
        <v>28</v>
      </c>
      <c r="E176" s="6" t="n">
        <v>36</v>
      </c>
      <c r="F176" s="6" t="n">
        <v>25</v>
      </c>
      <c r="G176" s="6" t="n">
        <v>23</v>
      </c>
      <c r="H176" s="6" t="n">
        <v>32</v>
      </c>
      <c r="I176" s="6" t="n">
        <v>38</v>
      </c>
      <c r="J176" s="6" t="n">
        <v>31</v>
      </c>
      <c r="K176" s="7" t="n">
        <f aca="false">SUM(D176:J176)</f>
        <v>213</v>
      </c>
    </row>
    <row r="177" customFormat="false" ht="15" hidden="false" customHeight="false" outlineLevel="0" collapsed="false">
      <c r="A177" s="42"/>
      <c r="B177" s="42"/>
      <c r="C177" s="44" t="s">
        <v>14</v>
      </c>
      <c r="D177" s="9" t="n">
        <v>23.3</v>
      </c>
      <c r="E177" s="9" t="n">
        <v>29.8</v>
      </c>
      <c r="F177" s="9" t="n">
        <v>31.5</v>
      </c>
      <c r="G177" s="9" t="n">
        <v>26.8</v>
      </c>
      <c r="H177" s="9" t="n">
        <v>26</v>
      </c>
      <c r="I177" s="9" t="n">
        <v>37</v>
      </c>
      <c r="J177" s="9" t="n">
        <v>37.2</v>
      </c>
      <c r="K177" s="10" t="n">
        <f aca="false">SUM(D177:J177)</f>
        <v>211.6</v>
      </c>
    </row>
    <row r="178" customFormat="false" ht="15" hidden="false" customHeight="false" outlineLevel="0" collapsed="false">
      <c r="A178" s="42"/>
      <c r="B178" s="42"/>
      <c r="C178" s="11" t="s">
        <v>41</v>
      </c>
      <c r="D178" s="14" t="n">
        <f aca="false">IFERROR((D177-D176)/D176,0)</f>
        <v>-0.167857142857143</v>
      </c>
      <c r="E178" s="14" t="n">
        <f aca="false">IFERROR((E177-E176)/E176,0)</f>
        <v>-0.172222222222222</v>
      </c>
      <c r="F178" s="14" t="n">
        <f aca="false">IFERROR((F177-F176)/F176,0)</f>
        <v>0.26</v>
      </c>
      <c r="G178" s="14" t="n">
        <f aca="false">IFERROR((G177-G176)/G176,0)</f>
        <v>0.165217391304348</v>
      </c>
      <c r="H178" s="14" t="n">
        <f aca="false">IFERROR((H177-H176)/H176,0)</f>
        <v>-0.1875</v>
      </c>
      <c r="I178" s="14" t="n">
        <f aca="false">IFERROR((I177-I176)/I176,0)</f>
        <v>-0.0263157894736842</v>
      </c>
      <c r="J178" s="14" t="n">
        <f aca="false">IFERROR((J177-J176)/J176,0)</f>
        <v>0.2</v>
      </c>
      <c r="K178" s="15" t="n">
        <f aca="false">IFERROR((SUM(D177:J177)-SUM(D176:J176))/SUM(D176:J176),0)</f>
        <v>-0.00657276995305154</v>
      </c>
    </row>
    <row r="179" customFormat="false" ht="15" hidden="false" customHeight="true" outlineLevel="0" collapsed="false">
      <c r="A179" s="42" t="s">
        <v>239</v>
      </c>
      <c r="B179" s="43" t="s">
        <v>240</v>
      </c>
      <c r="C179" s="5" t="s">
        <v>26</v>
      </c>
      <c r="D179" s="6" t="n">
        <v>27</v>
      </c>
      <c r="E179" s="6" t="n">
        <v>31</v>
      </c>
      <c r="F179" s="6" t="n">
        <v>66</v>
      </c>
      <c r="G179" s="6" t="n">
        <v>46</v>
      </c>
      <c r="H179" s="6" t="n">
        <v>20</v>
      </c>
      <c r="I179" s="6" t="n">
        <v>8</v>
      </c>
      <c r="J179" s="6" t="n">
        <v>4</v>
      </c>
      <c r="K179" s="7" t="n">
        <f aca="false">SUM(D179:J179)</f>
        <v>202</v>
      </c>
    </row>
    <row r="180" customFormat="false" ht="15" hidden="false" customHeight="false" outlineLevel="0" collapsed="false">
      <c r="A180" s="42"/>
      <c r="B180" s="42"/>
      <c r="C180" s="44" t="s">
        <v>14</v>
      </c>
      <c r="D180" s="9" t="n">
        <v>25.2</v>
      </c>
      <c r="E180" s="9" t="n">
        <v>21.1</v>
      </c>
      <c r="F180" s="9" t="n">
        <v>23.5</v>
      </c>
      <c r="G180" s="9" t="n">
        <v>28.3</v>
      </c>
      <c r="H180" s="9" t="n">
        <v>19.5</v>
      </c>
      <c r="I180" s="9" t="n">
        <v>43.8</v>
      </c>
      <c r="J180" s="9" t="n">
        <v>12.3</v>
      </c>
      <c r="K180" s="10" t="n">
        <f aca="false">SUM(D180:J180)</f>
        <v>173.7</v>
      </c>
    </row>
    <row r="181" customFormat="false" ht="15" hidden="false" customHeight="false" outlineLevel="0" collapsed="false">
      <c r="A181" s="42"/>
      <c r="B181" s="42"/>
      <c r="C181" s="11" t="s">
        <v>41</v>
      </c>
      <c r="D181" s="14" t="n">
        <f aca="false">IFERROR((D180-D179)/D179,0)</f>
        <v>-0.0666666666666667</v>
      </c>
      <c r="E181" s="14" t="n">
        <f aca="false">IFERROR((E180-E179)/E179,0)</f>
        <v>-0.319354838709677</v>
      </c>
      <c r="F181" s="14" t="n">
        <f aca="false">IFERROR((F180-F179)/F179,0)</f>
        <v>-0.643939393939394</v>
      </c>
      <c r="G181" s="14" t="n">
        <f aca="false">IFERROR((G180-G179)/G179,0)</f>
        <v>-0.384782608695652</v>
      </c>
      <c r="H181" s="14" t="n">
        <f aca="false">IFERROR((H180-H179)/H179,0)</f>
        <v>-0.025</v>
      </c>
      <c r="I181" s="14" t="n">
        <f aca="false">IFERROR((I180-I179)/I179,0)</f>
        <v>4.475</v>
      </c>
      <c r="J181" s="14" t="n">
        <f aca="false">IFERROR((J180-J179)/J179,0)</f>
        <v>2.075</v>
      </c>
      <c r="K181" s="15" t="n">
        <f aca="false">IFERROR((SUM(D180:J180)-SUM(D179:J179))/SUM(D179:J179),0)</f>
        <v>-0.14009900990099</v>
      </c>
    </row>
    <row r="182" customFormat="false" ht="15" hidden="false" customHeight="true" outlineLevel="0" collapsed="false">
      <c r="A182" s="42" t="s">
        <v>241</v>
      </c>
      <c r="B182" s="43" t="s">
        <v>242</v>
      </c>
      <c r="C182" s="5" t="s">
        <v>26</v>
      </c>
      <c r="D182" s="6" t="n">
        <v>15</v>
      </c>
      <c r="E182" s="6" t="n">
        <v>13</v>
      </c>
      <c r="F182" s="6" t="n">
        <v>11</v>
      </c>
      <c r="G182" s="6" t="n">
        <v>29</v>
      </c>
      <c r="H182" s="6" t="n">
        <v>29</v>
      </c>
      <c r="I182" s="6" t="n">
        <v>59</v>
      </c>
      <c r="J182" s="6" t="n">
        <v>45</v>
      </c>
      <c r="K182" s="7" t="n">
        <f aca="false">SUM(D182:J182)</f>
        <v>201</v>
      </c>
    </row>
    <row r="183" customFormat="false" ht="15" hidden="false" customHeight="false" outlineLevel="0" collapsed="false">
      <c r="A183" s="42"/>
      <c r="B183" s="42"/>
      <c r="C183" s="44" t="s">
        <v>14</v>
      </c>
      <c r="D183" s="9" t="n">
        <v>14.1</v>
      </c>
      <c r="E183" s="9" t="n">
        <v>17.9</v>
      </c>
      <c r="F183" s="9" t="n">
        <v>14.9</v>
      </c>
      <c r="G183" s="9" t="n">
        <v>23.1</v>
      </c>
      <c r="H183" s="9" t="n">
        <v>29.7</v>
      </c>
      <c r="I183" s="9" t="n">
        <v>53.9</v>
      </c>
      <c r="J183" s="9" t="n">
        <v>31.1</v>
      </c>
      <c r="K183" s="10" t="n">
        <f aca="false">SUM(D183:J183)</f>
        <v>184.7</v>
      </c>
    </row>
    <row r="184" customFormat="false" ht="15" hidden="false" customHeight="false" outlineLevel="0" collapsed="false">
      <c r="A184" s="42"/>
      <c r="B184" s="42"/>
      <c r="C184" s="11" t="s">
        <v>41</v>
      </c>
      <c r="D184" s="14" t="n">
        <f aca="false">IFERROR((D183-D182)/D182,0)</f>
        <v>-0.06</v>
      </c>
      <c r="E184" s="14" t="n">
        <f aca="false">IFERROR((E183-E182)/E182,0)</f>
        <v>0.376923076923077</v>
      </c>
      <c r="F184" s="14" t="n">
        <f aca="false">IFERROR((F183-F182)/F182,0)</f>
        <v>0.354545454545455</v>
      </c>
      <c r="G184" s="14" t="n">
        <f aca="false">IFERROR((G183-G182)/G182,0)</f>
        <v>-0.203448275862069</v>
      </c>
      <c r="H184" s="14" t="n">
        <f aca="false">IFERROR((H183-H182)/H182,0)</f>
        <v>0.0241379310344827</v>
      </c>
      <c r="I184" s="14" t="n">
        <f aca="false">IFERROR((I183-I182)/I182,0)</f>
        <v>-0.0864406779661017</v>
      </c>
      <c r="J184" s="14" t="n">
        <f aca="false">IFERROR((J183-J182)/J182,0)</f>
        <v>-0.308888888888889</v>
      </c>
      <c r="K184" s="15" t="n">
        <f aca="false">IFERROR((SUM(D183:J183)-SUM(D182:J182))/SUM(D182:J182),0)</f>
        <v>-0.0810945273631841</v>
      </c>
    </row>
    <row r="185" customFormat="false" ht="15" hidden="false" customHeight="true" outlineLevel="0" collapsed="false">
      <c r="A185" s="42" t="s">
        <v>243</v>
      </c>
      <c r="B185" s="43" t="s">
        <v>244</v>
      </c>
      <c r="C185" s="5" t="s">
        <v>26</v>
      </c>
      <c r="D185" s="6" t="n">
        <v>12</v>
      </c>
      <c r="E185" s="6" t="n">
        <v>15</v>
      </c>
      <c r="F185" s="6" t="n">
        <v>13</v>
      </c>
      <c r="G185" s="6" t="n">
        <v>18</v>
      </c>
      <c r="H185" s="6" t="n">
        <v>34</v>
      </c>
      <c r="I185" s="6" t="n">
        <v>72</v>
      </c>
      <c r="J185" s="6" t="n">
        <v>32</v>
      </c>
      <c r="K185" s="7" t="n">
        <f aca="false">SUM(D185:J185)</f>
        <v>196</v>
      </c>
    </row>
    <row r="186" customFormat="false" ht="15" hidden="false" customHeight="false" outlineLevel="0" collapsed="false">
      <c r="A186" s="42"/>
      <c r="B186" s="42"/>
      <c r="C186" s="44" t="s">
        <v>14</v>
      </c>
      <c r="D186" s="9" t="n">
        <v>19.8</v>
      </c>
      <c r="E186" s="9" t="n">
        <v>18.5</v>
      </c>
      <c r="F186" s="9" t="n">
        <v>19.6</v>
      </c>
      <c r="G186" s="9" t="n">
        <v>23.6</v>
      </c>
      <c r="H186" s="9" t="n">
        <v>29.3</v>
      </c>
      <c r="I186" s="9" t="n">
        <v>75.3</v>
      </c>
      <c r="J186" s="9" t="n">
        <v>41.4</v>
      </c>
      <c r="K186" s="10" t="n">
        <f aca="false">SUM(D186:J186)</f>
        <v>227.5</v>
      </c>
    </row>
    <row r="187" customFormat="false" ht="15" hidden="false" customHeight="false" outlineLevel="0" collapsed="false">
      <c r="A187" s="42"/>
      <c r="B187" s="42"/>
      <c r="C187" s="11" t="s">
        <v>41</v>
      </c>
      <c r="D187" s="14" t="n">
        <f aca="false">IFERROR((D186-D185)/D185,0)</f>
        <v>0.65</v>
      </c>
      <c r="E187" s="14" t="n">
        <f aca="false">IFERROR((E186-E185)/E185,0)</f>
        <v>0.233333333333333</v>
      </c>
      <c r="F187" s="14" t="n">
        <f aca="false">IFERROR((F186-F185)/F185,0)</f>
        <v>0.507692307692308</v>
      </c>
      <c r="G187" s="14" t="n">
        <f aca="false">IFERROR((G186-G185)/G185,0)</f>
        <v>0.311111111111111</v>
      </c>
      <c r="H187" s="14" t="n">
        <f aca="false">IFERROR((H186-H185)/H185,0)</f>
        <v>-0.138235294117647</v>
      </c>
      <c r="I187" s="14" t="n">
        <f aca="false">IFERROR((I186-I185)/I185,0)</f>
        <v>0.0458333333333333</v>
      </c>
      <c r="J187" s="14" t="n">
        <f aca="false">IFERROR((J186-J185)/J185,0)</f>
        <v>0.29375</v>
      </c>
      <c r="K187" s="15" t="n">
        <f aca="false">IFERROR((SUM(D186:J186)-SUM(D185:J185))/SUM(D185:J185),0)</f>
        <v>0.160714285714286</v>
      </c>
    </row>
    <row r="188" customFormat="false" ht="15" hidden="false" customHeight="true" outlineLevel="0" collapsed="false">
      <c r="A188" s="42" t="s">
        <v>245</v>
      </c>
      <c r="B188" s="43" t="s">
        <v>246</v>
      </c>
      <c r="C188" s="5" t="s">
        <v>26</v>
      </c>
      <c r="D188" s="6" t="n">
        <v>10</v>
      </c>
      <c r="E188" s="6" t="n">
        <v>29</v>
      </c>
      <c r="F188" s="6" t="n">
        <v>15</v>
      </c>
      <c r="G188" s="6" t="n">
        <v>42</v>
      </c>
      <c r="H188" s="6" t="n">
        <v>27</v>
      </c>
      <c r="I188" s="6" t="n">
        <v>41</v>
      </c>
      <c r="J188" s="6" t="n">
        <v>29</v>
      </c>
      <c r="K188" s="7" t="n">
        <f aca="false">SUM(D188:J188)</f>
        <v>193</v>
      </c>
    </row>
    <row r="189" customFormat="false" ht="15" hidden="false" customHeight="false" outlineLevel="0" collapsed="false">
      <c r="A189" s="42"/>
      <c r="B189" s="42"/>
      <c r="C189" s="44" t="s">
        <v>14</v>
      </c>
      <c r="D189" s="9" t="n">
        <v>15.2</v>
      </c>
      <c r="E189" s="9" t="n">
        <v>13.2</v>
      </c>
      <c r="F189" s="9" t="n">
        <v>15.2</v>
      </c>
      <c r="G189" s="9" t="n">
        <v>18.6</v>
      </c>
      <c r="H189" s="9" t="n">
        <v>23.9</v>
      </c>
      <c r="I189" s="9" t="n">
        <v>35.2</v>
      </c>
      <c r="J189" s="9" t="n">
        <v>31.3</v>
      </c>
      <c r="K189" s="10" t="n">
        <f aca="false">SUM(D189:J189)</f>
        <v>152.6</v>
      </c>
    </row>
    <row r="190" customFormat="false" ht="15" hidden="false" customHeight="false" outlineLevel="0" collapsed="false">
      <c r="A190" s="42"/>
      <c r="B190" s="42"/>
      <c r="C190" s="11" t="s">
        <v>41</v>
      </c>
      <c r="D190" s="14" t="n">
        <f aca="false">IFERROR((D189-D188)/D188,0)</f>
        <v>0.52</v>
      </c>
      <c r="E190" s="14" t="n">
        <f aca="false">IFERROR((E189-E188)/E188,0)</f>
        <v>-0.544827586206897</v>
      </c>
      <c r="F190" s="14" t="n">
        <f aca="false">IFERROR((F189-F188)/F188,0)</f>
        <v>0.0133333333333333</v>
      </c>
      <c r="G190" s="14" t="n">
        <f aca="false">IFERROR((G189-G188)/G188,0)</f>
        <v>-0.557142857142857</v>
      </c>
      <c r="H190" s="14" t="n">
        <f aca="false">IFERROR((H189-H188)/H188,0)</f>
        <v>-0.114814814814815</v>
      </c>
      <c r="I190" s="14" t="n">
        <f aca="false">IFERROR((I189-I188)/I188,0)</f>
        <v>-0.141463414634146</v>
      </c>
      <c r="J190" s="14" t="n">
        <f aca="false">IFERROR((J189-J188)/J188,0)</f>
        <v>0.0793103448275862</v>
      </c>
      <c r="K190" s="15" t="n">
        <f aca="false">IFERROR((SUM(D189:J189)-SUM(D188:J188))/SUM(D188:J188),0)</f>
        <v>-0.209326424870466</v>
      </c>
    </row>
    <row r="191" customFormat="false" ht="15" hidden="false" customHeight="true" outlineLevel="0" collapsed="false">
      <c r="A191" s="42" t="s">
        <v>247</v>
      </c>
      <c r="B191" s="43" t="s">
        <v>248</v>
      </c>
      <c r="C191" s="5" t="s">
        <v>26</v>
      </c>
      <c r="D191" s="6" t="n">
        <v>18</v>
      </c>
      <c r="E191" s="6" t="n">
        <v>18</v>
      </c>
      <c r="F191" s="6" t="n">
        <v>22</v>
      </c>
      <c r="G191" s="6" t="n">
        <v>19</v>
      </c>
      <c r="H191" s="6" t="n">
        <v>30</v>
      </c>
      <c r="I191" s="6" t="n">
        <v>52</v>
      </c>
      <c r="J191" s="6" t="n">
        <v>34</v>
      </c>
      <c r="K191" s="7" t="n">
        <f aca="false">SUM(D191:J191)</f>
        <v>193</v>
      </c>
    </row>
    <row r="192" customFormat="false" ht="15" hidden="false" customHeight="false" outlineLevel="0" collapsed="false">
      <c r="A192" s="42"/>
      <c r="B192" s="42"/>
      <c r="C192" s="44" t="s">
        <v>14</v>
      </c>
      <c r="D192" s="9" t="n">
        <v>22.8</v>
      </c>
      <c r="E192" s="9" t="n">
        <v>22.8</v>
      </c>
      <c r="F192" s="9" t="n">
        <v>21.2</v>
      </c>
      <c r="G192" s="9" t="n">
        <v>25</v>
      </c>
      <c r="H192" s="9" t="n">
        <v>27.2</v>
      </c>
      <c r="I192" s="9" t="n">
        <v>57.3</v>
      </c>
      <c r="J192" s="9" t="n">
        <v>39.3</v>
      </c>
      <c r="K192" s="10" t="n">
        <f aca="false">SUM(D192:J192)</f>
        <v>215.6</v>
      </c>
    </row>
    <row r="193" customFormat="false" ht="15" hidden="false" customHeight="false" outlineLevel="0" collapsed="false">
      <c r="A193" s="42"/>
      <c r="B193" s="42"/>
      <c r="C193" s="11" t="s">
        <v>41</v>
      </c>
      <c r="D193" s="14" t="n">
        <f aca="false">IFERROR((D192-D191)/D191,0)</f>
        <v>0.266666666666667</v>
      </c>
      <c r="E193" s="14" t="n">
        <f aca="false">IFERROR((E192-E191)/E191,0)</f>
        <v>0.266666666666667</v>
      </c>
      <c r="F193" s="14" t="n">
        <f aca="false">IFERROR((F192-F191)/F191,0)</f>
        <v>-0.0363636363636364</v>
      </c>
      <c r="G193" s="14" t="n">
        <f aca="false">IFERROR((G192-G191)/G191,0)</f>
        <v>0.315789473684211</v>
      </c>
      <c r="H193" s="14" t="n">
        <f aca="false">IFERROR((H192-H191)/H191,0)</f>
        <v>-0.0933333333333334</v>
      </c>
      <c r="I193" s="14" t="n">
        <f aca="false">IFERROR((I192-I191)/I191,0)</f>
        <v>0.101923076923077</v>
      </c>
      <c r="J193" s="14" t="n">
        <f aca="false">IFERROR((J192-J191)/J191,0)</f>
        <v>0.155882352941176</v>
      </c>
      <c r="K193" s="15" t="n">
        <f aca="false">IFERROR((SUM(D192:J192)-SUM(D191:J191))/SUM(D191:J191),0)</f>
        <v>0.117098445595855</v>
      </c>
    </row>
    <row r="194" customFormat="false" ht="15" hidden="false" customHeight="true" outlineLevel="0" collapsed="false">
      <c r="A194" s="42" t="s">
        <v>249</v>
      </c>
      <c r="B194" s="43" t="s">
        <v>250</v>
      </c>
      <c r="C194" s="5" t="s">
        <v>26</v>
      </c>
      <c r="D194" s="6" t="n">
        <v>26</v>
      </c>
      <c r="E194" s="6" t="n">
        <v>31</v>
      </c>
      <c r="F194" s="6" t="n">
        <v>35</v>
      </c>
      <c r="G194" s="6" t="n">
        <v>30</v>
      </c>
      <c r="H194" s="6" t="n">
        <v>29</v>
      </c>
      <c r="I194" s="6" t="n">
        <v>26</v>
      </c>
      <c r="J194" s="6" t="n">
        <v>14</v>
      </c>
      <c r="K194" s="7" t="n">
        <f aca="false">SUM(D194:J194)</f>
        <v>191</v>
      </c>
    </row>
    <row r="195" customFormat="false" ht="15" hidden="false" customHeight="false" outlineLevel="0" collapsed="false">
      <c r="A195" s="42"/>
      <c r="B195" s="42"/>
      <c r="C195" s="44" t="s">
        <v>14</v>
      </c>
      <c r="D195" s="9" t="n">
        <v>19.2</v>
      </c>
      <c r="E195" s="9" t="n">
        <v>23.3</v>
      </c>
      <c r="F195" s="9" t="n">
        <v>30.8</v>
      </c>
      <c r="G195" s="9" t="n">
        <v>28.3</v>
      </c>
      <c r="H195" s="9" t="n">
        <v>26.2</v>
      </c>
      <c r="I195" s="9" t="n">
        <v>40.2</v>
      </c>
      <c r="J195" s="9" t="n">
        <v>14.7</v>
      </c>
      <c r="K195" s="10" t="n">
        <f aca="false">SUM(D195:J195)</f>
        <v>182.7</v>
      </c>
    </row>
    <row r="196" customFormat="false" ht="15" hidden="false" customHeight="false" outlineLevel="0" collapsed="false">
      <c r="A196" s="42"/>
      <c r="B196" s="42"/>
      <c r="C196" s="11" t="s">
        <v>41</v>
      </c>
      <c r="D196" s="14" t="n">
        <f aca="false">IFERROR((D195-D194)/D194,0)</f>
        <v>-0.261538461538462</v>
      </c>
      <c r="E196" s="14" t="n">
        <f aca="false">IFERROR((E195-E194)/E194,0)</f>
        <v>-0.248387096774194</v>
      </c>
      <c r="F196" s="14" t="n">
        <f aca="false">IFERROR((F195-F194)/F194,0)</f>
        <v>-0.12</v>
      </c>
      <c r="G196" s="14" t="n">
        <f aca="false">IFERROR((G195-G194)/G194,0)</f>
        <v>-0.0566666666666666</v>
      </c>
      <c r="H196" s="14" t="n">
        <f aca="false">IFERROR((H195-H194)/H194,0)</f>
        <v>-0.0965517241379311</v>
      </c>
      <c r="I196" s="14" t="n">
        <f aca="false">IFERROR((I195-I194)/I194,0)</f>
        <v>0.546153846153846</v>
      </c>
      <c r="J196" s="14" t="n">
        <f aca="false">IFERROR((J195-J194)/J194,0)</f>
        <v>0.05</v>
      </c>
      <c r="K196" s="15" t="n">
        <f aca="false">IFERROR((SUM(D195:J195)-SUM(D194:J194))/SUM(D194:J194),0)</f>
        <v>-0.043455497382199</v>
      </c>
    </row>
    <row r="197" customFormat="false" ht="15" hidden="false" customHeight="true" outlineLevel="0" collapsed="false">
      <c r="A197" s="42" t="s">
        <v>251</v>
      </c>
      <c r="B197" s="43" t="s">
        <v>252</v>
      </c>
      <c r="C197" s="5" t="s">
        <v>26</v>
      </c>
      <c r="D197" s="6" t="n">
        <v>9</v>
      </c>
      <c r="E197" s="6" t="n">
        <v>16</v>
      </c>
      <c r="F197" s="6" t="n">
        <v>11</v>
      </c>
      <c r="G197" s="6" t="n">
        <v>32</v>
      </c>
      <c r="H197" s="6" t="n">
        <v>42</v>
      </c>
      <c r="I197" s="6" t="n">
        <v>50</v>
      </c>
      <c r="J197" s="6" t="n">
        <v>25</v>
      </c>
      <c r="K197" s="7" t="n">
        <f aca="false">SUM(D197:J197)</f>
        <v>185</v>
      </c>
    </row>
    <row r="198" customFormat="false" ht="15" hidden="false" customHeight="false" outlineLevel="0" collapsed="false">
      <c r="A198" s="42"/>
      <c r="B198" s="42"/>
      <c r="C198" s="44" t="s">
        <v>14</v>
      </c>
      <c r="D198" s="9" t="n">
        <v>17</v>
      </c>
      <c r="E198" s="9" t="n">
        <v>16.4</v>
      </c>
      <c r="F198" s="9" t="n">
        <v>16.7</v>
      </c>
      <c r="G198" s="9" t="n">
        <v>20</v>
      </c>
      <c r="H198" s="9" t="n">
        <v>28.3</v>
      </c>
      <c r="I198" s="9" t="n">
        <v>44.1</v>
      </c>
      <c r="J198" s="9" t="n">
        <v>30.4</v>
      </c>
      <c r="K198" s="10" t="n">
        <f aca="false">SUM(D198:J198)</f>
        <v>172.9</v>
      </c>
    </row>
    <row r="199" customFormat="false" ht="15" hidden="false" customHeight="false" outlineLevel="0" collapsed="false">
      <c r="A199" s="42"/>
      <c r="B199" s="42"/>
      <c r="C199" s="11" t="s">
        <v>41</v>
      </c>
      <c r="D199" s="14" t="n">
        <f aca="false">IFERROR((D198-D197)/D197,0)</f>
        <v>0.888888888888889</v>
      </c>
      <c r="E199" s="14" t="n">
        <f aca="false">IFERROR((E198-E197)/E197,0)</f>
        <v>0.0249999999999999</v>
      </c>
      <c r="F199" s="14" t="n">
        <f aca="false">IFERROR((F198-F197)/F197,0)</f>
        <v>0.518181818181818</v>
      </c>
      <c r="G199" s="14" t="n">
        <f aca="false">IFERROR((G198-G197)/G197,0)</f>
        <v>-0.375</v>
      </c>
      <c r="H199" s="14" t="n">
        <f aca="false">IFERROR((H198-H197)/H197,0)</f>
        <v>-0.326190476190476</v>
      </c>
      <c r="I199" s="14" t="n">
        <f aca="false">IFERROR((I198-I197)/I197,0)</f>
        <v>-0.118</v>
      </c>
      <c r="J199" s="14" t="n">
        <f aca="false">IFERROR((J198-J197)/J197,0)</f>
        <v>0.216</v>
      </c>
      <c r="K199" s="15" t="n">
        <f aca="false">IFERROR((SUM(D198:J198)-SUM(D197:J197))/SUM(D197:J197),0)</f>
        <v>-0.0654054054054054</v>
      </c>
    </row>
    <row r="200" customFormat="false" ht="15" hidden="false" customHeight="true" outlineLevel="0" collapsed="false">
      <c r="A200" s="42" t="s">
        <v>253</v>
      </c>
      <c r="B200" s="43" t="s">
        <v>254</v>
      </c>
      <c r="C200" s="5" t="s">
        <v>26</v>
      </c>
      <c r="D200" s="6" t="n">
        <v>28</v>
      </c>
      <c r="E200" s="6" t="n">
        <v>28</v>
      </c>
      <c r="F200" s="6" t="n">
        <v>14</v>
      </c>
      <c r="G200" s="6" t="n">
        <v>23</v>
      </c>
      <c r="H200" s="6" t="n">
        <v>19</v>
      </c>
      <c r="I200" s="6" t="n">
        <v>50</v>
      </c>
      <c r="J200" s="6" t="n">
        <v>22</v>
      </c>
      <c r="K200" s="7" t="n">
        <f aca="false">SUM(D200:J200)</f>
        <v>184</v>
      </c>
    </row>
    <row r="201" customFormat="false" ht="15" hidden="false" customHeight="false" outlineLevel="0" collapsed="false">
      <c r="A201" s="42"/>
      <c r="B201" s="42"/>
      <c r="C201" s="44" t="s">
        <v>14</v>
      </c>
      <c r="D201" s="9" t="n">
        <v>12.9</v>
      </c>
      <c r="E201" s="9" t="n">
        <v>18.2</v>
      </c>
      <c r="F201" s="9" t="n">
        <v>20.4</v>
      </c>
      <c r="G201" s="9" t="n">
        <v>15.5</v>
      </c>
      <c r="H201" s="9" t="n">
        <v>15.4</v>
      </c>
      <c r="I201" s="9" t="n">
        <v>27.8</v>
      </c>
      <c r="J201" s="9" t="n">
        <v>24.8</v>
      </c>
      <c r="K201" s="10" t="n">
        <f aca="false">SUM(D201:J201)</f>
        <v>135</v>
      </c>
    </row>
    <row r="202" customFormat="false" ht="15" hidden="false" customHeight="false" outlineLevel="0" collapsed="false">
      <c r="A202" s="42"/>
      <c r="B202" s="42"/>
      <c r="C202" s="11" t="s">
        <v>41</v>
      </c>
      <c r="D202" s="14" t="n">
        <f aca="false">IFERROR((D201-D200)/D200,0)</f>
        <v>-0.539285714285714</v>
      </c>
      <c r="E202" s="14" t="n">
        <f aca="false">IFERROR((E201-E200)/E200,0)</f>
        <v>-0.35</v>
      </c>
      <c r="F202" s="14" t="n">
        <f aca="false">IFERROR((F201-F200)/F200,0)</f>
        <v>0.457142857142857</v>
      </c>
      <c r="G202" s="14" t="n">
        <f aca="false">IFERROR((G201-G200)/G200,0)</f>
        <v>-0.326086956521739</v>
      </c>
      <c r="H202" s="14" t="n">
        <f aca="false">IFERROR((H201-H200)/H200,0)</f>
        <v>-0.189473684210526</v>
      </c>
      <c r="I202" s="14" t="n">
        <f aca="false">IFERROR((I201-I200)/I200,0)</f>
        <v>-0.444</v>
      </c>
      <c r="J202" s="14" t="n">
        <f aca="false">IFERROR((J201-J200)/J200,0)</f>
        <v>0.127272727272727</v>
      </c>
      <c r="K202" s="15" t="n">
        <f aca="false">IFERROR((SUM(D201:J201)-SUM(D200:J200))/SUM(D200:J200),0)</f>
        <v>-0.266304347826087</v>
      </c>
    </row>
    <row r="203" customFormat="false" ht="15" hidden="false" customHeight="true" outlineLevel="0" collapsed="false">
      <c r="A203" s="42" t="s">
        <v>255</v>
      </c>
      <c r="B203" s="43" t="s">
        <v>256</v>
      </c>
      <c r="C203" s="5" t="s">
        <v>26</v>
      </c>
      <c r="D203" s="6" t="n">
        <v>21</v>
      </c>
      <c r="E203" s="6" t="n">
        <v>15</v>
      </c>
      <c r="F203" s="6" t="n">
        <v>28</v>
      </c>
      <c r="G203" s="6" t="n">
        <v>29</v>
      </c>
      <c r="H203" s="6" t="n">
        <v>35</v>
      </c>
      <c r="I203" s="6" t="n">
        <v>44</v>
      </c>
      <c r="J203" s="6" t="n">
        <v>11</v>
      </c>
      <c r="K203" s="7" t="n">
        <f aca="false">SUM(D203:J203)</f>
        <v>183</v>
      </c>
    </row>
    <row r="204" customFormat="false" ht="15" hidden="false" customHeight="false" outlineLevel="0" collapsed="false">
      <c r="A204" s="42"/>
      <c r="B204" s="42"/>
      <c r="C204" s="44" t="s">
        <v>14</v>
      </c>
      <c r="D204" s="9" t="n">
        <v>12.7</v>
      </c>
      <c r="E204" s="9" t="n">
        <v>16.7</v>
      </c>
      <c r="F204" s="9" t="n">
        <v>21.5</v>
      </c>
      <c r="G204" s="9" t="n">
        <v>24.3</v>
      </c>
      <c r="H204" s="9" t="n">
        <v>26.4</v>
      </c>
      <c r="I204" s="9" t="n">
        <v>39.5</v>
      </c>
      <c r="J204" s="9" t="n">
        <v>22.3</v>
      </c>
      <c r="K204" s="10" t="n">
        <f aca="false">SUM(D204:J204)</f>
        <v>163.4</v>
      </c>
    </row>
    <row r="205" customFormat="false" ht="15" hidden="false" customHeight="false" outlineLevel="0" collapsed="false">
      <c r="A205" s="42"/>
      <c r="B205" s="42"/>
      <c r="C205" s="11" t="s">
        <v>41</v>
      </c>
      <c r="D205" s="14" t="n">
        <f aca="false">IFERROR((D204-D203)/D203,0)</f>
        <v>-0.395238095238095</v>
      </c>
      <c r="E205" s="14" t="n">
        <f aca="false">IFERROR((E204-E203)/E203,0)</f>
        <v>0.113333333333333</v>
      </c>
      <c r="F205" s="14" t="n">
        <f aca="false">IFERROR((F204-F203)/F203,0)</f>
        <v>-0.232142857142857</v>
      </c>
      <c r="G205" s="14" t="n">
        <f aca="false">IFERROR((G204-G203)/G203,0)</f>
        <v>-0.162068965517241</v>
      </c>
      <c r="H205" s="14" t="n">
        <f aca="false">IFERROR((H204-H203)/H203,0)</f>
        <v>-0.245714285714286</v>
      </c>
      <c r="I205" s="14" t="n">
        <f aca="false">IFERROR((I204-I203)/I203,0)</f>
        <v>-0.102272727272727</v>
      </c>
      <c r="J205" s="14" t="n">
        <f aca="false">IFERROR((J204-J203)/J203,0)</f>
        <v>1.02727272727273</v>
      </c>
      <c r="K205" s="15" t="n">
        <f aca="false">IFERROR((SUM(D204:J204)-SUM(D203:J203))/SUM(D203:J203),0)</f>
        <v>-0.107103825136612</v>
      </c>
    </row>
    <row r="206" customFormat="false" ht="15" hidden="false" customHeight="true" outlineLevel="0" collapsed="false">
      <c r="A206" s="42" t="s">
        <v>257</v>
      </c>
      <c r="B206" s="43" t="s">
        <v>258</v>
      </c>
      <c r="C206" s="5" t="s">
        <v>26</v>
      </c>
      <c r="D206" s="6" t="n">
        <v>38</v>
      </c>
      <c r="E206" s="6" t="n">
        <v>19</v>
      </c>
      <c r="F206" s="6" t="n">
        <v>31</v>
      </c>
      <c r="G206" s="6" t="n">
        <v>15</v>
      </c>
      <c r="H206" s="6" t="n">
        <v>23</v>
      </c>
      <c r="I206" s="6" t="n">
        <v>39</v>
      </c>
      <c r="J206" s="6" t="n">
        <v>14</v>
      </c>
      <c r="K206" s="7" t="n">
        <f aca="false">SUM(D206:J206)</f>
        <v>179</v>
      </c>
    </row>
    <row r="207" customFormat="false" ht="15" hidden="false" customHeight="false" outlineLevel="0" collapsed="false">
      <c r="A207" s="42"/>
      <c r="B207" s="42"/>
      <c r="C207" s="44" t="s">
        <v>14</v>
      </c>
      <c r="D207" s="9" t="n">
        <v>17.6</v>
      </c>
      <c r="E207" s="9" t="n">
        <v>20.4</v>
      </c>
      <c r="F207" s="9" t="n">
        <v>20.5</v>
      </c>
      <c r="G207" s="9" t="n">
        <v>23.3</v>
      </c>
      <c r="H207" s="9" t="n">
        <v>16.5</v>
      </c>
      <c r="I207" s="9" t="n">
        <v>28.1</v>
      </c>
      <c r="J207" s="9" t="n">
        <v>13.4</v>
      </c>
      <c r="K207" s="10" t="n">
        <f aca="false">SUM(D207:J207)</f>
        <v>139.8</v>
      </c>
    </row>
    <row r="208" customFormat="false" ht="15" hidden="false" customHeight="false" outlineLevel="0" collapsed="false">
      <c r="A208" s="42"/>
      <c r="B208" s="42"/>
      <c r="C208" s="11" t="s">
        <v>41</v>
      </c>
      <c r="D208" s="14" t="n">
        <f aca="false">IFERROR((D207-D206)/D206,0)</f>
        <v>-0.536842105263158</v>
      </c>
      <c r="E208" s="14" t="n">
        <f aca="false">IFERROR((E207-E206)/E206,0)</f>
        <v>0.0736842105263157</v>
      </c>
      <c r="F208" s="14" t="n">
        <f aca="false">IFERROR((F207-F206)/F206,0)</f>
        <v>-0.338709677419355</v>
      </c>
      <c r="G208" s="14" t="n">
        <f aca="false">IFERROR((G207-G206)/G206,0)</f>
        <v>0.553333333333333</v>
      </c>
      <c r="H208" s="14" t="n">
        <f aca="false">IFERROR((H207-H206)/H206,0)</f>
        <v>-0.282608695652174</v>
      </c>
      <c r="I208" s="14" t="n">
        <f aca="false">IFERROR((I207-I206)/I206,0)</f>
        <v>-0.279487179487179</v>
      </c>
      <c r="J208" s="14" t="n">
        <f aca="false">IFERROR((J207-J206)/J206,0)</f>
        <v>-0.0428571428571428</v>
      </c>
      <c r="K208" s="15" t="n">
        <f aca="false">IFERROR((SUM(D207:J207)-SUM(D206:J206))/SUM(D206:J206),0)</f>
        <v>-0.218994413407821</v>
      </c>
    </row>
    <row r="209" customFormat="false" ht="15" hidden="false" customHeight="true" outlineLevel="0" collapsed="false">
      <c r="A209" s="42" t="s">
        <v>259</v>
      </c>
      <c r="B209" s="43" t="s">
        <v>260</v>
      </c>
      <c r="C209" s="5" t="s">
        <v>26</v>
      </c>
      <c r="D209" s="6" t="n">
        <v>18</v>
      </c>
      <c r="E209" s="6" t="n">
        <v>21</v>
      </c>
      <c r="F209" s="6" t="n">
        <v>23</v>
      </c>
      <c r="G209" s="6" t="n">
        <v>35</v>
      </c>
      <c r="H209" s="6" t="n">
        <v>33</v>
      </c>
      <c r="I209" s="6" t="n">
        <v>26</v>
      </c>
      <c r="J209" s="6" t="n">
        <v>19</v>
      </c>
      <c r="K209" s="7" t="n">
        <f aca="false">SUM(D209:J209)</f>
        <v>175</v>
      </c>
    </row>
    <row r="210" customFormat="false" ht="15" hidden="false" customHeight="false" outlineLevel="0" collapsed="false">
      <c r="A210" s="42"/>
      <c r="B210" s="42"/>
      <c r="C210" s="44" t="s">
        <v>14</v>
      </c>
      <c r="D210" s="9" t="n">
        <v>20.3</v>
      </c>
      <c r="E210" s="9" t="n">
        <v>21.1</v>
      </c>
      <c r="F210" s="9" t="n">
        <v>25.5</v>
      </c>
      <c r="G210" s="9" t="n">
        <v>26.8</v>
      </c>
      <c r="H210" s="9" t="n">
        <v>24.6</v>
      </c>
      <c r="I210" s="9" t="n">
        <v>35.3</v>
      </c>
      <c r="J210" s="9" t="n">
        <v>17.8</v>
      </c>
      <c r="K210" s="10" t="n">
        <f aca="false">SUM(D210:J210)</f>
        <v>171.4</v>
      </c>
    </row>
    <row r="211" customFormat="false" ht="15" hidden="false" customHeight="false" outlineLevel="0" collapsed="false">
      <c r="A211" s="42"/>
      <c r="B211" s="42"/>
      <c r="C211" s="11" t="s">
        <v>41</v>
      </c>
      <c r="D211" s="14" t="n">
        <f aca="false">IFERROR((D210-D209)/D209,0)</f>
        <v>0.127777777777778</v>
      </c>
      <c r="E211" s="14" t="n">
        <f aca="false">IFERROR((E210-E209)/E209,0)</f>
        <v>0.00476190476190483</v>
      </c>
      <c r="F211" s="14" t="n">
        <f aca="false">IFERROR((F210-F209)/F209,0)</f>
        <v>0.108695652173913</v>
      </c>
      <c r="G211" s="14" t="n">
        <f aca="false">IFERROR((G210-G209)/G209,0)</f>
        <v>-0.234285714285714</v>
      </c>
      <c r="H211" s="14" t="n">
        <f aca="false">IFERROR((H210-H209)/H209,0)</f>
        <v>-0.254545454545455</v>
      </c>
      <c r="I211" s="14" t="n">
        <f aca="false">IFERROR((I210-I209)/I209,0)</f>
        <v>0.357692307692308</v>
      </c>
      <c r="J211" s="14" t="n">
        <f aca="false">IFERROR((J210-J209)/J209,0)</f>
        <v>-0.0631578947368421</v>
      </c>
      <c r="K211" s="15" t="n">
        <f aca="false">IFERROR((SUM(D210:J210)-SUM(D209:J209))/SUM(D209:J209),0)</f>
        <v>-0.0205714285714285</v>
      </c>
    </row>
    <row r="212" customFormat="false" ht="15" hidden="false" customHeight="true" outlineLevel="0" collapsed="false">
      <c r="A212" s="42" t="s">
        <v>261</v>
      </c>
      <c r="B212" s="43" t="s">
        <v>262</v>
      </c>
      <c r="C212" s="5" t="s">
        <v>26</v>
      </c>
      <c r="D212" s="6" t="n">
        <v>19</v>
      </c>
      <c r="E212" s="6" t="n">
        <v>14</v>
      </c>
      <c r="F212" s="6" t="n">
        <v>28</v>
      </c>
      <c r="G212" s="6" t="n">
        <v>32</v>
      </c>
      <c r="H212" s="6" t="n">
        <v>26</v>
      </c>
      <c r="I212" s="6" t="n">
        <v>41</v>
      </c>
      <c r="J212" s="6" t="n">
        <v>14</v>
      </c>
      <c r="K212" s="7" t="n">
        <f aca="false">SUM(D212:J212)</f>
        <v>174</v>
      </c>
    </row>
    <row r="213" customFormat="false" ht="15" hidden="false" customHeight="false" outlineLevel="0" collapsed="false">
      <c r="A213" s="42"/>
      <c r="B213" s="42"/>
      <c r="C213" s="44" t="s">
        <v>14</v>
      </c>
      <c r="D213" s="9" t="n">
        <v>9.9</v>
      </c>
      <c r="E213" s="9" t="n">
        <v>16.4</v>
      </c>
      <c r="F213" s="9" t="n">
        <v>19.1</v>
      </c>
      <c r="G213" s="9" t="n">
        <v>25.8</v>
      </c>
      <c r="H213" s="9" t="n">
        <v>29.6</v>
      </c>
      <c r="I213" s="9" t="n">
        <v>48.1</v>
      </c>
      <c r="J213" s="9" t="n">
        <v>29</v>
      </c>
      <c r="K213" s="10" t="n">
        <f aca="false">SUM(D213:J213)</f>
        <v>177.9</v>
      </c>
    </row>
    <row r="214" customFormat="false" ht="15" hidden="false" customHeight="false" outlineLevel="0" collapsed="false">
      <c r="A214" s="42"/>
      <c r="B214" s="42"/>
      <c r="C214" s="11" t="s">
        <v>41</v>
      </c>
      <c r="D214" s="14" t="n">
        <f aca="false">IFERROR((D213-D212)/D212,0)</f>
        <v>-0.478947368421053</v>
      </c>
      <c r="E214" s="14" t="n">
        <f aca="false">IFERROR((E213-E212)/E212,0)</f>
        <v>0.171428571428571</v>
      </c>
      <c r="F214" s="14" t="n">
        <f aca="false">IFERROR((F213-F212)/F212,0)</f>
        <v>-0.317857142857143</v>
      </c>
      <c r="G214" s="14" t="n">
        <f aca="false">IFERROR((G213-G212)/G212,0)</f>
        <v>-0.19375</v>
      </c>
      <c r="H214" s="14" t="n">
        <f aca="false">IFERROR((H213-H212)/H212,0)</f>
        <v>0.138461538461539</v>
      </c>
      <c r="I214" s="14" t="n">
        <f aca="false">IFERROR((I213-I212)/I212,0)</f>
        <v>0.173170731707317</v>
      </c>
      <c r="J214" s="14" t="n">
        <f aca="false">IFERROR((J213-J212)/J212,0)</f>
        <v>1.07142857142857</v>
      </c>
      <c r="K214" s="15" t="n">
        <f aca="false">IFERROR((SUM(D213:J213)-SUM(D212:J212))/SUM(D212:J212),0)</f>
        <v>0.0224137931034483</v>
      </c>
    </row>
    <row r="215" customFormat="false" ht="15" hidden="false" customHeight="true" outlineLevel="0" collapsed="false">
      <c r="A215" s="42" t="s">
        <v>263</v>
      </c>
      <c r="B215" s="43" t="s">
        <v>264</v>
      </c>
      <c r="C215" s="5" t="s">
        <v>26</v>
      </c>
      <c r="D215" s="6" t="n">
        <v>16</v>
      </c>
      <c r="E215" s="6" t="n">
        <v>23</v>
      </c>
      <c r="F215" s="6" t="n">
        <v>19</v>
      </c>
      <c r="G215" s="6" t="n">
        <v>15</v>
      </c>
      <c r="H215" s="6" t="n">
        <v>29</v>
      </c>
      <c r="I215" s="6" t="n">
        <v>46</v>
      </c>
      <c r="J215" s="6" t="n">
        <v>26</v>
      </c>
      <c r="K215" s="7" t="n">
        <f aca="false">SUM(D215:J215)</f>
        <v>174</v>
      </c>
    </row>
    <row r="216" customFormat="false" ht="15" hidden="false" customHeight="false" outlineLevel="0" collapsed="false">
      <c r="A216" s="42"/>
      <c r="B216" s="42"/>
      <c r="C216" s="44" t="s">
        <v>14</v>
      </c>
      <c r="D216" s="9" t="n">
        <v>23</v>
      </c>
      <c r="E216" s="9" t="n">
        <v>24.6</v>
      </c>
      <c r="F216" s="9" t="n">
        <v>25.1</v>
      </c>
      <c r="G216" s="9" t="n">
        <v>27.4</v>
      </c>
      <c r="H216" s="9" t="n">
        <v>30</v>
      </c>
      <c r="I216" s="9" t="n">
        <v>76.7</v>
      </c>
      <c r="J216" s="9" t="n">
        <v>38.1</v>
      </c>
      <c r="K216" s="10" t="n">
        <f aca="false">SUM(D216:J216)</f>
        <v>244.9</v>
      </c>
    </row>
    <row r="217" customFormat="false" ht="15" hidden="false" customHeight="false" outlineLevel="0" collapsed="false">
      <c r="A217" s="42"/>
      <c r="B217" s="42"/>
      <c r="C217" s="11" t="s">
        <v>41</v>
      </c>
      <c r="D217" s="14" t="n">
        <f aca="false">IFERROR((D216-D215)/D215,0)</f>
        <v>0.4375</v>
      </c>
      <c r="E217" s="14" t="n">
        <f aca="false">IFERROR((E216-E215)/E215,0)</f>
        <v>0.0695652173913044</v>
      </c>
      <c r="F217" s="14" t="n">
        <f aca="false">IFERROR((F216-F215)/F215,0)</f>
        <v>0.321052631578947</v>
      </c>
      <c r="G217" s="14" t="n">
        <f aca="false">IFERROR((G216-G215)/G215,0)</f>
        <v>0.826666666666667</v>
      </c>
      <c r="H217" s="14" t="n">
        <f aca="false">IFERROR((H216-H215)/H215,0)</f>
        <v>0.0344827586206897</v>
      </c>
      <c r="I217" s="14" t="n">
        <f aca="false">IFERROR((I216-I215)/I215,0)</f>
        <v>0.667391304347826</v>
      </c>
      <c r="J217" s="14" t="n">
        <f aca="false">IFERROR((J216-J215)/J215,0)</f>
        <v>0.465384615384615</v>
      </c>
      <c r="K217" s="15" t="n">
        <f aca="false">IFERROR((SUM(D216:J216)-SUM(D215:J215))/SUM(D215:J215),0)</f>
        <v>0.407471264367816</v>
      </c>
    </row>
    <row r="218" customFormat="false" ht="15" hidden="false" customHeight="true" outlineLevel="0" collapsed="false">
      <c r="A218" s="42" t="s">
        <v>265</v>
      </c>
      <c r="B218" s="43" t="s">
        <v>266</v>
      </c>
      <c r="C218" s="5" t="s">
        <v>26</v>
      </c>
      <c r="D218" s="6" t="n">
        <v>9</v>
      </c>
      <c r="E218" s="6" t="n">
        <v>7</v>
      </c>
      <c r="F218" s="6" t="n">
        <v>12</v>
      </c>
      <c r="G218" s="6" t="n">
        <v>32</v>
      </c>
      <c r="H218" s="6" t="n">
        <v>33</v>
      </c>
      <c r="I218" s="6" t="n">
        <v>62</v>
      </c>
      <c r="J218" s="6" t="n">
        <v>18</v>
      </c>
      <c r="K218" s="7" t="n">
        <f aca="false">SUM(D218:J218)</f>
        <v>173</v>
      </c>
    </row>
    <row r="219" customFormat="false" ht="15" hidden="false" customHeight="false" outlineLevel="0" collapsed="false">
      <c r="A219" s="42"/>
      <c r="B219" s="42"/>
      <c r="C219" s="44" t="s">
        <v>14</v>
      </c>
      <c r="D219" s="9" t="n">
        <v>10.9</v>
      </c>
      <c r="E219" s="9" t="n">
        <v>13.9</v>
      </c>
      <c r="F219" s="9" t="n">
        <v>13.7</v>
      </c>
      <c r="G219" s="9" t="n">
        <v>15.8</v>
      </c>
      <c r="H219" s="9" t="n">
        <v>20.7</v>
      </c>
      <c r="I219" s="9" t="n">
        <v>38.6</v>
      </c>
      <c r="J219" s="9" t="n">
        <v>14.7</v>
      </c>
      <c r="K219" s="10" t="n">
        <f aca="false">SUM(D219:J219)</f>
        <v>128.3</v>
      </c>
    </row>
    <row r="220" customFormat="false" ht="15" hidden="false" customHeight="false" outlineLevel="0" collapsed="false">
      <c r="A220" s="42"/>
      <c r="B220" s="42"/>
      <c r="C220" s="11" t="s">
        <v>41</v>
      </c>
      <c r="D220" s="14" t="n">
        <f aca="false">IFERROR((D219-D218)/D218,0)</f>
        <v>0.211111111111111</v>
      </c>
      <c r="E220" s="14" t="n">
        <f aca="false">IFERROR((E219-E218)/E218,0)</f>
        <v>0.985714285714286</v>
      </c>
      <c r="F220" s="14" t="n">
        <f aca="false">IFERROR((F219-F218)/F218,0)</f>
        <v>0.141666666666667</v>
      </c>
      <c r="G220" s="14" t="n">
        <f aca="false">IFERROR((G219-G218)/G218,0)</f>
        <v>-0.50625</v>
      </c>
      <c r="H220" s="14" t="n">
        <f aca="false">IFERROR((H219-H218)/H218,0)</f>
        <v>-0.372727272727273</v>
      </c>
      <c r="I220" s="14" t="n">
        <f aca="false">IFERROR((I219-I218)/I218,0)</f>
        <v>-0.37741935483871</v>
      </c>
      <c r="J220" s="14" t="n">
        <f aca="false">IFERROR((J219-J218)/J218,0)</f>
        <v>-0.183333333333333</v>
      </c>
      <c r="K220" s="15" t="n">
        <f aca="false">IFERROR((SUM(D219:J219)-SUM(D218:J218))/SUM(D218:J218),0)</f>
        <v>-0.258381502890174</v>
      </c>
    </row>
    <row r="221" customFormat="false" ht="15" hidden="false" customHeight="true" outlineLevel="0" collapsed="false">
      <c r="A221" s="42" t="s">
        <v>267</v>
      </c>
      <c r="B221" s="43" t="s">
        <v>268</v>
      </c>
      <c r="C221" s="5" t="s">
        <v>26</v>
      </c>
      <c r="D221" s="6" t="n">
        <v>23</v>
      </c>
      <c r="E221" s="6" t="n">
        <v>26</v>
      </c>
      <c r="F221" s="6" t="n">
        <v>9</v>
      </c>
      <c r="G221" s="6" t="n">
        <v>30</v>
      </c>
      <c r="H221" s="6" t="n">
        <v>22</v>
      </c>
      <c r="I221" s="6" t="n">
        <v>40</v>
      </c>
      <c r="J221" s="6" t="n">
        <v>22</v>
      </c>
      <c r="K221" s="7" t="n">
        <f aca="false">SUM(D221:J221)</f>
        <v>172</v>
      </c>
    </row>
    <row r="222" customFormat="false" ht="15" hidden="false" customHeight="false" outlineLevel="0" collapsed="false">
      <c r="A222" s="42"/>
      <c r="B222" s="42"/>
      <c r="C222" s="44" t="s">
        <v>14</v>
      </c>
      <c r="D222" s="9" t="n">
        <v>14.8</v>
      </c>
      <c r="E222" s="9" t="n">
        <v>16.7</v>
      </c>
      <c r="F222" s="9" t="n">
        <v>18.9</v>
      </c>
      <c r="G222" s="9" t="n">
        <v>16.9</v>
      </c>
      <c r="H222" s="9" t="n">
        <v>17.4</v>
      </c>
      <c r="I222" s="9" t="n">
        <v>32.4</v>
      </c>
      <c r="J222" s="9" t="n">
        <v>19.5</v>
      </c>
      <c r="K222" s="10" t="n">
        <f aca="false">SUM(D222:J222)</f>
        <v>136.6</v>
      </c>
    </row>
    <row r="223" customFormat="false" ht="15" hidden="false" customHeight="false" outlineLevel="0" collapsed="false">
      <c r="A223" s="42"/>
      <c r="B223" s="42"/>
      <c r="C223" s="11" t="s">
        <v>41</v>
      </c>
      <c r="D223" s="14" t="n">
        <f aca="false">IFERROR((D222-D221)/D221,0)</f>
        <v>-0.356521739130435</v>
      </c>
      <c r="E223" s="14" t="n">
        <f aca="false">IFERROR((E222-E221)/E221,0)</f>
        <v>-0.357692307692308</v>
      </c>
      <c r="F223" s="14" t="n">
        <f aca="false">IFERROR((F222-F221)/F221,0)</f>
        <v>1.1</v>
      </c>
      <c r="G223" s="14" t="n">
        <f aca="false">IFERROR((G222-G221)/G221,0)</f>
        <v>-0.436666666666667</v>
      </c>
      <c r="H223" s="14" t="n">
        <f aca="false">IFERROR((H222-H221)/H221,0)</f>
        <v>-0.209090909090909</v>
      </c>
      <c r="I223" s="14" t="n">
        <f aca="false">IFERROR((I222-I221)/I221,0)</f>
        <v>-0.19</v>
      </c>
      <c r="J223" s="14" t="n">
        <f aca="false">IFERROR((J222-J221)/J221,0)</f>
        <v>-0.113636363636364</v>
      </c>
      <c r="K223" s="15" t="n">
        <f aca="false">IFERROR((SUM(D222:J222)-SUM(D221:J221))/SUM(D221:J221),0)</f>
        <v>-0.205813953488372</v>
      </c>
    </row>
    <row r="224" customFormat="false" ht="15" hidden="false" customHeight="true" outlineLevel="0" collapsed="false">
      <c r="A224" s="42" t="s">
        <v>269</v>
      </c>
      <c r="B224" s="43" t="s">
        <v>270</v>
      </c>
      <c r="C224" s="5" t="s">
        <v>26</v>
      </c>
      <c r="D224" s="6" t="n">
        <v>22</v>
      </c>
      <c r="E224" s="6" t="n">
        <v>21</v>
      </c>
      <c r="F224" s="6" t="n">
        <v>23</v>
      </c>
      <c r="G224" s="6" t="n">
        <v>29</v>
      </c>
      <c r="H224" s="6" t="n">
        <v>30</v>
      </c>
      <c r="I224" s="6" t="n">
        <v>38</v>
      </c>
      <c r="J224" s="6" t="n">
        <v>7</v>
      </c>
      <c r="K224" s="7" t="n">
        <f aca="false">SUM(D224:J224)</f>
        <v>170</v>
      </c>
    </row>
    <row r="225" customFormat="false" ht="15" hidden="false" customHeight="false" outlineLevel="0" collapsed="false">
      <c r="A225" s="42"/>
      <c r="B225" s="42"/>
      <c r="C225" s="44" t="s">
        <v>14</v>
      </c>
      <c r="D225" s="9" t="n">
        <v>19.6</v>
      </c>
      <c r="E225" s="9" t="n">
        <v>21.4</v>
      </c>
      <c r="F225" s="9" t="n">
        <v>21.7</v>
      </c>
      <c r="G225" s="9" t="n">
        <v>26.3</v>
      </c>
      <c r="H225" s="9" t="n">
        <v>23.1</v>
      </c>
      <c r="I225" s="9" t="n">
        <v>50.8</v>
      </c>
      <c r="J225" s="9" t="n">
        <v>20.6</v>
      </c>
      <c r="K225" s="10" t="n">
        <f aca="false">SUM(D225:J225)</f>
        <v>183.5</v>
      </c>
    </row>
    <row r="226" customFormat="false" ht="15" hidden="false" customHeight="false" outlineLevel="0" collapsed="false">
      <c r="A226" s="42"/>
      <c r="B226" s="42"/>
      <c r="C226" s="11" t="s">
        <v>41</v>
      </c>
      <c r="D226" s="14" t="n">
        <f aca="false">IFERROR((D225-D224)/D224,0)</f>
        <v>-0.109090909090909</v>
      </c>
      <c r="E226" s="14" t="n">
        <f aca="false">IFERROR((E225-E224)/E224,0)</f>
        <v>0.019047619047619</v>
      </c>
      <c r="F226" s="14" t="n">
        <f aca="false">IFERROR((F225-F224)/F224,0)</f>
        <v>-0.0565217391304348</v>
      </c>
      <c r="G226" s="14" t="n">
        <f aca="false">IFERROR((G225-G224)/G224,0)</f>
        <v>-0.0931034482758621</v>
      </c>
      <c r="H226" s="14" t="n">
        <f aca="false">IFERROR((H225-H224)/H224,0)</f>
        <v>-0.23</v>
      </c>
      <c r="I226" s="14" t="n">
        <f aca="false">IFERROR((I225-I224)/I224,0)</f>
        <v>0.336842105263158</v>
      </c>
      <c r="J226" s="14" t="n">
        <f aca="false">IFERROR((J225-J224)/J224,0)</f>
        <v>1.94285714285714</v>
      </c>
      <c r="K226" s="15" t="n">
        <f aca="false">IFERROR((SUM(D225:J225)-SUM(D224:J224))/SUM(D224:J224),0)</f>
        <v>0.0794117647058824</v>
      </c>
    </row>
    <row r="227" customFormat="false" ht="15" hidden="false" customHeight="true" outlineLevel="0" collapsed="false">
      <c r="A227" s="42" t="s">
        <v>271</v>
      </c>
      <c r="B227" s="43" t="s">
        <v>272</v>
      </c>
      <c r="C227" s="5" t="s">
        <v>26</v>
      </c>
      <c r="D227" s="6" t="n">
        <v>21</v>
      </c>
      <c r="E227" s="6" t="n">
        <v>33</v>
      </c>
      <c r="F227" s="6" t="n">
        <v>11</v>
      </c>
      <c r="G227" s="6" t="n">
        <v>16</v>
      </c>
      <c r="H227" s="6" t="n">
        <v>17</v>
      </c>
      <c r="I227" s="6" t="n">
        <v>41</v>
      </c>
      <c r="J227" s="6" t="n">
        <v>31</v>
      </c>
      <c r="K227" s="7" t="n">
        <f aca="false">SUM(D227:J227)</f>
        <v>170</v>
      </c>
    </row>
    <row r="228" customFormat="false" ht="15" hidden="false" customHeight="false" outlineLevel="0" collapsed="false">
      <c r="A228" s="42"/>
      <c r="B228" s="42"/>
      <c r="C228" s="44" t="s">
        <v>14</v>
      </c>
      <c r="D228" s="9" t="n">
        <v>20.8</v>
      </c>
      <c r="E228" s="9" t="n">
        <v>27.4</v>
      </c>
      <c r="F228" s="9" t="n">
        <v>24.9</v>
      </c>
      <c r="G228" s="9" t="n">
        <v>22.2</v>
      </c>
      <c r="H228" s="9" t="n">
        <v>22.6</v>
      </c>
      <c r="I228" s="9" t="n">
        <v>37</v>
      </c>
      <c r="J228" s="9" t="n">
        <v>29.2</v>
      </c>
      <c r="K228" s="10" t="n">
        <f aca="false">SUM(D228:J228)</f>
        <v>184.1</v>
      </c>
    </row>
    <row r="229" customFormat="false" ht="15" hidden="false" customHeight="false" outlineLevel="0" collapsed="false">
      <c r="A229" s="42"/>
      <c r="B229" s="42"/>
      <c r="C229" s="11" t="s">
        <v>41</v>
      </c>
      <c r="D229" s="14" t="n">
        <f aca="false">IFERROR((D228-D227)/D227,0)</f>
        <v>-0.00952380952380949</v>
      </c>
      <c r="E229" s="14" t="n">
        <f aca="false">IFERROR((E228-E227)/E227,0)</f>
        <v>-0.16969696969697</v>
      </c>
      <c r="F229" s="14" t="n">
        <f aca="false">IFERROR((F228-F227)/F227,0)</f>
        <v>1.26363636363636</v>
      </c>
      <c r="G229" s="14" t="n">
        <f aca="false">IFERROR((G228-G227)/G227,0)</f>
        <v>0.3875</v>
      </c>
      <c r="H229" s="14" t="n">
        <f aca="false">IFERROR((H228-H227)/H227,0)</f>
        <v>0.329411764705882</v>
      </c>
      <c r="I229" s="14" t="n">
        <f aca="false">IFERROR((I228-I227)/I227,0)</f>
        <v>-0.0975609756097561</v>
      </c>
      <c r="J229" s="14" t="n">
        <f aca="false">IFERROR((J228-J227)/J227,0)</f>
        <v>-0.0580645161290323</v>
      </c>
      <c r="K229" s="15" t="n">
        <f aca="false">IFERROR((SUM(D228:J228)-SUM(D227:J227))/SUM(D227:J227),0)</f>
        <v>0.0829411764705882</v>
      </c>
    </row>
    <row r="230" customFormat="false" ht="15" hidden="false" customHeight="true" outlineLevel="0" collapsed="false">
      <c r="A230" s="42" t="s">
        <v>273</v>
      </c>
      <c r="B230" s="43" t="s">
        <v>274</v>
      </c>
      <c r="C230" s="5" t="s">
        <v>26</v>
      </c>
      <c r="D230" s="6" t="n">
        <v>13</v>
      </c>
      <c r="E230" s="6" t="n">
        <v>6</v>
      </c>
      <c r="F230" s="6" t="n">
        <v>22</v>
      </c>
      <c r="G230" s="6" t="n">
        <v>28</v>
      </c>
      <c r="H230" s="6" t="n">
        <v>32</v>
      </c>
      <c r="I230" s="6" t="n">
        <v>44</v>
      </c>
      <c r="J230" s="6" t="n">
        <v>23</v>
      </c>
      <c r="K230" s="7" t="n">
        <f aca="false">SUM(D230:J230)</f>
        <v>168</v>
      </c>
    </row>
    <row r="231" customFormat="false" ht="15" hidden="false" customHeight="false" outlineLevel="0" collapsed="false">
      <c r="A231" s="42"/>
      <c r="B231" s="42"/>
      <c r="C231" s="44" t="s">
        <v>14</v>
      </c>
      <c r="D231" s="9" t="n">
        <v>15.2</v>
      </c>
      <c r="E231" s="9" t="n">
        <v>16.6</v>
      </c>
      <c r="F231" s="9" t="n">
        <v>20.1</v>
      </c>
      <c r="G231" s="9" t="n">
        <v>24.2</v>
      </c>
      <c r="H231" s="9" t="n">
        <v>25.2</v>
      </c>
      <c r="I231" s="9" t="n">
        <v>55.5</v>
      </c>
      <c r="J231" s="9" t="n">
        <v>29.5</v>
      </c>
      <c r="K231" s="10" t="n">
        <f aca="false">SUM(D231:J231)</f>
        <v>186.3</v>
      </c>
    </row>
    <row r="232" customFormat="false" ht="15" hidden="false" customHeight="false" outlineLevel="0" collapsed="false">
      <c r="A232" s="42"/>
      <c r="B232" s="42"/>
      <c r="C232" s="11" t="s">
        <v>41</v>
      </c>
      <c r="D232" s="14" t="n">
        <f aca="false">IFERROR((D231-D230)/D230,0)</f>
        <v>0.169230769230769</v>
      </c>
      <c r="E232" s="14" t="n">
        <f aca="false">IFERROR((E231-E230)/E230,0)</f>
        <v>1.76666666666667</v>
      </c>
      <c r="F232" s="14" t="n">
        <f aca="false">IFERROR((F231-F230)/F230,0)</f>
        <v>-0.0863636363636363</v>
      </c>
      <c r="G232" s="14" t="n">
        <f aca="false">IFERROR((G231-G230)/G230,0)</f>
        <v>-0.135714285714286</v>
      </c>
      <c r="H232" s="14" t="n">
        <f aca="false">IFERROR((H231-H230)/H230,0)</f>
        <v>-0.2125</v>
      </c>
      <c r="I232" s="14" t="n">
        <f aca="false">IFERROR((I231-I230)/I230,0)</f>
        <v>0.261363636363636</v>
      </c>
      <c r="J232" s="14" t="n">
        <f aca="false">IFERROR((J231-J230)/J230,0)</f>
        <v>0.282608695652174</v>
      </c>
      <c r="K232" s="15" t="n">
        <f aca="false">IFERROR((SUM(D231:J231)-SUM(D230:J230))/SUM(D230:J230),0)</f>
        <v>0.108928571428572</v>
      </c>
    </row>
    <row r="233" customFormat="false" ht="15" hidden="false" customHeight="true" outlineLevel="0" collapsed="false">
      <c r="A233" s="42" t="s">
        <v>275</v>
      </c>
      <c r="B233" s="43" t="s">
        <v>276</v>
      </c>
      <c r="C233" s="5" t="s">
        <v>26</v>
      </c>
      <c r="D233" s="6" t="n">
        <v>22</v>
      </c>
      <c r="E233" s="6" t="n">
        <v>30</v>
      </c>
      <c r="F233" s="6" t="n">
        <v>12</v>
      </c>
      <c r="G233" s="6" t="n">
        <v>14</v>
      </c>
      <c r="H233" s="6" t="n">
        <v>29</v>
      </c>
      <c r="I233" s="6" t="n">
        <v>40</v>
      </c>
      <c r="J233" s="6" t="n">
        <v>18</v>
      </c>
      <c r="K233" s="7" t="n">
        <f aca="false">SUM(D233:J233)</f>
        <v>165</v>
      </c>
    </row>
    <row r="234" customFormat="false" ht="15" hidden="false" customHeight="false" outlineLevel="0" collapsed="false">
      <c r="A234" s="42"/>
      <c r="B234" s="42"/>
      <c r="C234" s="44" t="s">
        <v>14</v>
      </c>
      <c r="D234" s="9" t="n">
        <v>24.8</v>
      </c>
      <c r="E234" s="9" t="n">
        <v>24.1</v>
      </c>
      <c r="F234" s="9" t="n">
        <v>22.7</v>
      </c>
      <c r="G234" s="9" t="n">
        <v>17.8</v>
      </c>
      <c r="H234" s="9" t="n">
        <v>17.8</v>
      </c>
      <c r="I234" s="9" t="n">
        <v>36.7</v>
      </c>
      <c r="J234" s="9" t="n">
        <v>25.3</v>
      </c>
      <c r="K234" s="10" t="n">
        <f aca="false">SUM(D234:J234)</f>
        <v>169.2</v>
      </c>
    </row>
    <row r="235" customFormat="false" ht="15" hidden="false" customHeight="false" outlineLevel="0" collapsed="false">
      <c r="A235" s="42"/>
      <c r="B235" s="42"/>
      <c r="C235" s="11" t="s">
        <v>41</v>
      </c>
      <c r="D235" s="14" t="n">
        <f aca="false">IFERROR((D234-D233)/D233,0)</f>
        <v>0.127272727272727</v>
      </c>
      <c r="E235" s="14" t="n">
        <f aca="false">IFERROR((E234-E233)/E233,0)</f>
        <v>-0.196666666666667</v>
      </c>
      <c r="F235" s="14" t="n">
        <f aca="false">IFERROR((F234-F233)/F233,0)</f>
        <v>0.891666666666667</v>
      </c>
      <c r="G235" s="14" t="n">
        <f aca="false">IFERROR((G234-G233)/G233,0)</f>
        <v>0.271428571428571</v>
      </c>
      <c r="H235" s="14" t="n">
        <f aca="false">IFERROR((H234-H233)/H233,0)</f>
        <v>-0.386206896551724</v>
      </c>
      <c r="I235" s="14" t="n">
        <f aca="false">IFERROR((I234-I233)/I233,0)</f>
        <v>-0.0824999999999999</v>
      </c>
      <c r="J235" s="14" t="n">
        <f aca="false">IFERROR((J234-J233)/J233,0)</f>
        <v>0.405555555555556</v>
      </c>
      <c r="K235" s="15" t="n">
        <f aca="false">IFERROR((SUM(D234:J234)-SUM(D233:J233))/SUM(D233:J233),0)</f>
        <v>0.0254545454545456</v>
      </c>
    </row>
    <row r="236" customFormat="false" ht="15" hidden="false" customHeight="true" outlineLevel="0" collapsed="false">
      <c r="A236" s="42" t="s">
        <v>277</v>
      </c>
      <c r="B236" s="43" t="s">
        <v>278</v>
      </c>
      <c r="C236" s="5" t="s">
        <v>26</v>
      </c>
      <c r="D236" s="6" t="n">
        <v>24</v>
      </c>
      <c r="E236" s="6" t="n">
        <v>31</v>
      </c>
      <c r="F236" s="6" t="n">
        <v>28</v>
      </c>
      <c r="G236" s="6" t="n">
        <v>26</v>
      </c>
      <c r="H236" s="6" t="n">
        <v>20</v>
      </c>
      <c r="I236" s="6" t="n">
        <v>27</v>
      </c>
      <c r="J236" s="6" t="n">
        <v>8</v>
      </c>
      <c r="K236" s="7" t="n">
        <f aca="false">SUM(D236:J236)</f>
        <v>164</v>
      </c>
    </row>
    <row r="237" customFormat="false" ht="15" hidden="false" customHeight="false" outlineLevel="0" collapsed="false">
      <c r="A237" s="42"/>
      <c r="B237" s="42"/>
      <c r="C237" s="44" t="s">
        <v>14</v>
      </c>
      <c r="D237" s="9" t="n">
        <v>24.1</v>
      </c>
      <c r="E237" s="9" t="n">
        <v>24.5</v>
      </c>
      <c r="F237" s="9" t="n">
        <v>24.4</v>
      </c>
      <c r="G237" s="9" t="n">
        <v>23.2</v>
      </c>
      <c r="H237" s="9" t="n">
        <v>18.8</v>
      </c>
      <c r="I237" s="9" t="n">
        <v>32.5</v>
      </c>
      <c r="J237" s="9" t="n">
        <v>11.2</v>
      </c>
      <c r="K237" s="10" t="n">
        <f aca="false">SUM(D237:J237)</f>
        <v>158.7</v>
      </c>
    </row>
    <row r="238" customFormat="false" ht="15" hidden="false" customHeight="false" outlineLevel="0" collapsed="false">
      <c r="A238" s="42"/>
      <c r="B238" s="42"/>
      <c r="C238" s="11" t="s">
        <v>41</v>
      </c>
      <c r="D238" s="14" t="n">
        <f aca="false">IFERROR((D237-D236)/D236,0)</f>
        <v>0.00416666666666673</v>
      </c>
      <c r="E238" s="14" t="n">
        <f aca="false">IFERROR((E237-E236)/E236,0)</f>
        <v>-0.209677419354839</v>
      </c>
      <c r="F238" s="14" t="n">
        <f aca="false">IFERROR((F237-F236)/F236,0)</f>
        <v>-0.128571428571429</v>
      </c>
      <c r="G238" s="14" t="n">
        <f aca="false">IFERROR((G237-G236)/G236,0)</f>
        <v>-0.107692307692308</v>
      </c>
      <c r="H238" s="14" t="n">
        <f aca="false">IFERROR((H237-H236)/H236,0)</f>
        <v>-0.06</v>
      </c>
      <c r="I238" s="14" t="n">
        <f aca="false">IFERROR((I237-I236)/I236,0)</f>
        <v>0.203703703703704</v>
      </c>
      <c r="J238" s="14" t="n">
        <f aca="false">IFERROR((J237-J236)/J236,0)</f>
        <v>0.4</v>
      </c>
      <c r="K238" s="15" t="n">
        <f aca="false">IFERROR((SUM(D237:J237)-SUM(D236:J236))/SUM(D236:J236),0)</f>
        <v>-0.0323170731707318</v>
      </c>
    </row>
    <row r="239" customFormat="false" ht="15" hidden="false" customHeight="true" outlineLevel="0" collapsed="false">
      <c r="A239" s="42" t="s">
        <v>279</v>
      </c>
      <c r="B239" s="43" t="s">
        <v>280</v>
      </c>
      <c r="C239" s="5" t="s">
        <v>26</v>
      </c>
      <c r="D239" s="6" t="n">
        <v>37</v>
      </c>
      <c r="E239" s="6" t="n">
        <v>34</v>
      </c>
      <c r="F239" s="6" t="n">
        <v>45</v>
      </c>
      <c r="G239" s="6" t="n">
        <v>34</v>
      </c>
      <c r="H239" s="6" t="n">
        <v>8</v>
      </c>
      <c r="I239" s="6" t="n">
        <v>3</v>
      </c>
      <c r="J239" s="6" t="n">
        <v>2</v>
      </c>
      <c r="K239" s="7" t="n">
        <f aca="false">SUM(D239:J239)</f>
        <v>163</v>
      </c>
    </row>
    <row r="240" customFormat="false" ht="15" hidden="false" customHeight="false" outlineLevel="0" collapsed="false">
      <c r="A240" s="42"/>
      <c r="B240" s="42"/>
      <c r="C240" s="44" t="s">
        <v>14</v>
      </c>
      <c r="D240" s="9" t="n">
        <v>29.3</v>
      </c>
      <c r="E240" s="9" t="n">
        <v>26.5</v>
      </c>
      <c r="F240" s="9" t="n">
        <v>25</v>
      </c>
      <c r="G240" s="9" t="n">
        <v>29.8</v>
      </c>
      <c r="H240" s="9" t="n">
        <v>15.6</v>
      </c>
      <c r="I240" s="9" t="n">
        <v>25.2</v>
      </c>
      <c r="J240" s="9" t="n">
        <v>3.5</v>
      </c>
      <c r="K240" s="10" t="n">
        <f aca="false">SUM(D240:J240)</f>
        <v>154.9</v>
      </c>
    </row>
    <row r="241" customFormat="false" ht="15" hidden="false" customHeight="false" outlineLevel="0" collapsed="false">
      <c r="A241" s="42"/>
      <c r="B241" s="42"/>
      <c r="C241" s="11" t="s">
        <v>41</v>
      </c>
      <c r="D241" s="14" t="n">
        <f aca="false">IFERROR((D240-D239)/D239,0)</f>
        <v>-0.208108108108108</v>
      </c>
      <c r="E241" s="14" t="n">
        <f aca="false">IFERROR((E240-E239)/E239,0)</f>
        <v>-0.220588235294118</v>
      </c>
      <c r="F241" s="14" t="n">
        <f aca="false">IFERROR((F240-F239)/F239,0)</f>
        <v>-0.444444444444444</v>
      </c>
      <c r="G241" s="14" t="n">
        <f aca="false">IFERROR((G240-G239)/G239,0)</f>
        <v>-0.123529411764706</v>
      </c>
      <c r="H241" s="14" t="n">
        <f aca="false">IFERROR((H240-H239)/H239,0)</f>
        <v>0.95</v>
      </c>
      <c r="I241" s="14" t="n">
        <f aca="false">IFERROR((I240-I239)/I239,0)</f>
        <v>7.4</v>
      </c>
      <c r="J241" s="14" t="n">
        <f aca="false">IFERROR((J240-J239)/J239,0)</f>
        <v>0.75</v>
      </c>
      <c r="K241" s="15" t="n">
        <f aca="false">IFERROR((SUM(D240:J240)-SUM(D239:J239))/SUM(D239:J239),0)</f>
        <v>-0.0496932515337423</v>
      </c>
    </row>
    <row r="242" customFormat="false" ht="15" hidden="false" customHeight="true" outlineLevel="0" collapsed="false">
      <c r="A242" s="42" t="s">
        <v>281</v>
      </c>
      <c r="B242" s="43" t="s">
        <v>282</v>
      </c>
      <c r="C242" s="5" t="s">
        <v>26</v>
      </c>
      <c r="D242" s="6" t="n">
        <v>37</v>
      </c>
      <c r="E242" s="6" t="n">
        <v>15</v>
      </c>
      <c r="F242" s="6" t="n">
        <v>19</v>
      </c>
      <c r="G242" s="6" t="n">
        <v>21</v>
      </c>
      <c r="H242" s="6" t="n">
        <v>17</v>
      </c>
      <c r="I242" s="6" t="n">
        <v>37</v>
      </c>
      <c r="J242" s="6" t="n">
        <v>12</v>
      </c>
      <c r="K242" s="7" t="n">
        <f aca="false">SUM(D242:J242)</f>
        <v>158</v>
      </c>
    </row>
    <row r="243" customFormat="false" ht="15" hidden="false" customHeight="false" outlineLevel="0" collapsed="false">
      <c r="A243" s="42"/>
      <c r="B243" s="42"/>
      <c r="C243" s="44" t="s">
        <v>14</v>
      </c>
      <c r="D243" s="9" t="n">
        <v>16.4</v>
      </c>
      <c r="E243" s="9" t="n">
        <v>17.6</v>
      </c>
      <c r="F243" s="9" t="n">
        <v>11.9</v>
      </c>
      <c r="G243" s="9" t="n">
        <v>15.1</v>
      </c>
      <c r="H243" s="9" t="n">
        <v>12.6</v>
      </c>
      <c r="I243" s="9" t="n">
        <v>27.2</v>
      </c>
      <c r="J243" s="9" t="n">
        <v>13.9</v>
      </c>
      <c r="K243" s="10" t="n">
        <f aca="false">SUM(D243:J243)</f>
        <v>114.7</v>
      </c>
    </row>
    <row r="244" customFormat="false" ht="15" hidden="false" customHeight="false" outlineLevel="0" collapsed="false">
      <c r="A244" s="42"/>
      <c r="B244" s="42"/>
      <c r="C244" s="11" t="s">
        <v>41</v>
      </c>
      <c r="D244" s="14" t="n">
        <f aca="false">IFERROR((D243-D242)/D242,0)</f>
        <v>-0.556756756756757</v>
      </c>
      <c r="E244" s="14" t="n">
        <f aca="false">IFERROR((E243-E242)/E242,0)</f>
        <v>0.173333333333333</v>
      </c>
      <c r="F244" s="14" t="n">
        <f aca="false">IFERROR((F243-F242)/F242,0)</f>
        <v>-0.373684210526316</v>
      </c>
      <c r="G244" s="14" t="n">
        <f aca="false">IFERROR((G243-G242)/G242,0)</f>
        <v>-0.280952380952381</v>
      </c>
      <c r="H244" s="14" t="n">
        <f aca="false">IFERROR((H243-H242)/H242,0)</f>
        <v>-0.258823529411765</v>
      </c>
      <c r="I244" s="14" t="n">
        <f aca="false">IFERROR((I243-I242)/I242,0)</f>
        <v>-0.264864864864865</v>
      </c>
      <c r="J244" s="14" t="n">
        <f aca="false">IFERROR((J243-J242)/J242,0)</f>
        <v>0.158333333333333</v>
      </c>
      <c r="K244" s="15" t="n">
        <f aca="false">IFERROR((SUM(D243:J243)-SUM(D242:J242))/SUM(D242:J242),0)</f>
        <v>-0.274050632911392</v>
      </c>
    </row>
    <row r="245" customFormat="false" ht="15" hidden="false" customHeight="true" outlineLevel="0" collapsed="false">
      <c r="A245" s="42" t="s">
        <v>283</v>
      </c>
      <c r="B245" s="43" t="s">
        <v>284</v>
      </c>
      <c r="C245" s="5" t="s">
        <v>26</v>
      </c>
      <c r="D245" s="6" t="n">
        <v>15</v>
      </c>
      <c r="E245" s="6" t="n">
        <v>14</v>
      </c>
      <c r="F245" s="6" t="n">
        <v>24</v>
      </c>
      <c r="G245" s="6" t="n">
        <v>26</v>
      </c>
      <c r="H245" s="6" t="n">
        <v>29</v>
      </c>
      <c r="I245" s="6" t="n">
        <v>28</v>
      </c>
      <c r="J245" s="6" t="n">
        <v>20</v>
      </c>
      <c r="K245" s="7" t="n">
        <f aca="false">SUM(D245:J245)</f>
        <v>156</v>
      </c>
    </row>
    <row r="246" customFormat="false" ht="15" hidden="false" customHeight="false" outlineLevel="0" collapsed="false">
      <c r="A246" s="42"/>
      <c r="B246" s="42"/>
      <c r="C246" s="44" t="s">
        <v>14</v>
      </c>
      <c r="D246" s="9" t="n">
        <v>9</v>
      </c>
      <c r="E246" s="9" t="n">
        <v>15</v>
      </c>
      <c r="F246" s="9" t="n">
        <v>15.6</v>
      </c>
      <c r="G246" s="9" t="n">
        <v>15.7</v>
      </c>
      <c r="H246" s="9" t="n">
        <v>18.4</v>
      </c>
      <c r="I246" s="9" t="n">
        <v>35.8</v>
      </c>
      <c r="J246" s="9" t="n">
        <v>27.5</v>
      </c>
      <c r="K246" s="10" t="n">
        <f aca="false">SUM(D246:J246)</f>
        <v>137</v>
      </c>
    </row>
    <row r="247" customFormat="false" ht="15" hidden="false" customHeight="false" outlineLevel="0" collapsed="false">
      <c r="A247" s="42"/>
      <c r="B247" s="42"/>
      <c r="C247" s="11" t="s">
        <v>41</v>
      </c>
      <c r="D247" s="14" t="n">
        <f aca="false">IFERROR((D246-D245)/D245,0)</f>
        <v>-0.4</v>
      </c>
      <c r="E247" s="14" t="n">
        <f aca="false">IFERROR((E246-E245)/E245,0)</f>
        <v>0.0714285714285714</v>
      </c>
      <c r="F247" s="14" t="n">
        <f aca="false">IFERROR((F246-F245)/F245,0)</f>
        <v>-0.35</v>
      </c>
      <c r="G247" s="14" t="n">
        <f aca="false">IFERROR((G246-G245)/G245,0)</f>
        <v>-0.396153846153846</v>
      </c>
      <c r="H247" s="14" t="n">
        <f aca="false">IFERROR((H246-H245)/H245,0)</f>
        <v>-0.36551724137931</v>
      </c>
      <c r="I247" s="14" t="n">
        <f aca="false">IFERROR((I246-I245)/I245,0)</f>
        <v>0.278571428571428</v>
      </c>
      <c r="J247" s="14" t="n">
        <f aca="false">IFERROR((J246-J245)/J245,0)</f>
        <v>0.375</v>
      </c>
      <c r="K247" s="15" t="n">
        <f aca="false">IFERROR((SUM(D246:J246)-SUM(D245:J245))/SUM(D245:J245),0)</f>
        <v>-0.121794871794872</v>
      </c>
    </row>
    <row r="248" customFormat="false" ht="15" hidden="false" customHeight="true" outlineLevel="0" collapsed="false">
      <c r="A248" s="42" t="s">
        <v>285</v>
      </c>
      <c r="B248" s="43" t="s">
        <v>286</v>
      </c>
      <c r="C248" s="5" t="s">
        <v>26</v>
      </c>
      <c r="D248" s="6" t="n">
        <v>27</v>
      </c>
      <c r="E248" s="6" t="n">
        <v>15</v>
      </c>
      <c r="F248" s="6" t="n">
        <v>16</v>
      </c>
      <c r="G248" s="6" t="n">
        <v>27</v>
      </c>
      <c r="H248" s="6" t="n">
        <v>23</v>
      </c>
      <c r="I248" s="6" t="n">
        <v>29</v>
      </c>
      <c r="J248" s="6" t="n">
        <v>19</v>
      </c>
      <c r="K248" s="7" t="n">
        <f aca="false">SUM(D248:J248)</f>
        <v>156</v>
      </c>
    </row>
    <row r="249" customFormat="false" ht="15" hidden="false" customHeight="false" outlineLevel="0" collapsed="false">
      <c r="A249" s="42"/>
      <c r="B249" s="42"/>
      <c r="C249" s="44" t="s">
        <v>14</v>
      </c>
      <c r="D249" s="9" t="n">
        <v>10.9</v>
      </c>
      <c r="E249" s="9" t="n">
        <v>15</v>
      </c>
      <c r="F249" s="9" t="n">
        <v>13.3</v>
      </c>
      <c r="G249" s="9" t="n">
        <v>12.9</v>
      </c>
      <c r="H249" s="9" t="n">
        <v>13.8</v>
      </c>
      <c r="I249" s="9" t="n">
        <v>28.5</v>
      </c>
      <c r="J249" s="9" t="n">
        <v>24.8</v>
      </c>
      <c r="K249" s="10" t="n">
        <f aca="false">SUM(D249:J249)</f>
        <v>119.2</v>
      </c>
    </row>
    <row r="250" customFormat="false" ht="15" hidden="false" customHeight="false" outlineLevel="0" collapsed="false">
      <c r="A250" s="42"/>
      <c r="B250" s="42"/>
      <c r="C250" s="11" t="s">
        <v>41</v>
      </c>
      <c r="D250" s="14" t="n">
        <f aca="false">IFERROR((D249-D248)/D248,0)</f>
        <v>-0.596296296296296</v>
      </c>
      <c r="E250" s="14" t="n">
        <f aca="false">IFERROR((E249-E248)/E248,0)</f>
        <v>0</v>
      </c>
      <c r="F250" s="14" t="n">
        <f aca="false">IFERROR((F249-F248)/F248,0)</f>
        <v>-0.16875</v>
      </c>
      <c r="G250" s="14" t="n">
        <f aca="false">IFERROR((G249-G248)/G248,0)</f>
        <v>-0.522222222222222</v>
      </c>
      <c r="H250" s="14" t="n">
        <f aca="false">IFERROR((H249-H248)/H248,0)</f>
        <v>-0.4</v>
      </c>
      <c r="I250" s="14" t="n">
        <f aca="false">IFERROR((I249-I248)/I248,0)</f>
        <v>-0.0172413793103448</v>
      </c>
      <c r="J250" s="14" t="n">
        <f aca="false">IFERROR((J249-J248)/J248,0)</f>
        <v>0.305263157894737</v>
      </c>
      <c r="K250" s="15" t="n">
        <f aca="false">IFERROR((SUM(D249:J249)-SUM(D248:J248))/SUM(D248:J248),0)</f>
        <v>-0.235897435897436</v>
      </c>
    </row>
    <row r="251" customFormat="false" ht="15" hidden="false" customHeight="true" outlineLevel="0" collapsed="false">
      <c r="A251" s="42" t="s">
        <v>287</v>
      </c>
      <c r="B251" s="43" t="s">
        <v>288</v>
      </c>
      <c r="C251" s="5" t="s">
        <v>26</v>
      </c>
      <c r="D251" s="6" t="n">
        <v>20</v>
      </c>
      <c r="E251" s="6" t="n">
        <v>22</v>
      </c>
      <c r="F251" s="6" t="n">
        <v>13</v>
      </c>
      <c r="G251" s="6" t="n">
        <v>24</v>
      </c>
      <c r="H251" s="6" t="n">
        <v>23</v>
      </c>
      <c r="I251" s="6" t="n">
        <v>41</v>
      </c>
      <c r="J251" s="6" t="n">
        <v>13</v>
      </c>
      <c r="K251" s="7" t="n">
        <f aca="false">SUM(D251:J251)</f>
        <v>156</v>
      </c>
    </row>
    <row r="252" customFormat="false" ht="15" hidden="false" customHeight="false" outlineLevel="0" collapsed="false">
      <c r="A252" s="42"/>
      <c r="B252" s="42"/>
      <c r="C252" s="44" t="s">
        <v>14</v>
      </c>
      <c r="D252" s="9" t="n">
        <v>13.3</v>
      </c>
      <c r="E252" s="9" t="n">
        <v>16.2</v>
      </c>
      <c r="F252" s="9" t="n">
        <v>13.4</v>
      </c>
      <c r="G252" s="9" t="n">
        <v>15.5</v>
      </c>
      <c r="H252" s="9" t="n">
        <v>18.8</v>
      </c>
      <c r="I252" s="9" t="n">
        <v>35.7</v>
      </c>
      <c r="J252" s="9" t="n">
        <v>13</v>
      </c>
      <c r="K252" s="10" t="n">
        <f aca="false">SUM(D252:J252)</f>
        <v>125.9</v>
      </c>
    </row>
    <row r="253" customFormat="false" ht="15" hidden="false" customHeight="false" outlineLevel="0" collapsed="false">
      <c r="A253" s="42"/>
      <c r="B253" s="42"/>
      <c r="C253" s="11" t="s">
        <v>41</v>
      </c>
      <c r="D253" s="14" t="n">
        <f aca="false">IFERROR((D252-D251)/D251,0)</f>
        <v>-0.335</v>
      </c>
      <c r="E253" s="14" t="n">
        <f aca="false">IFERROR((E252-E251)/E251,0)</f>
        <v>-0.263636363636364</v>
      </c>
      <c r="F253" s="14" t="n">
        <f aca="false">IFERROR((F252-F251)/F251,0)</f>
        <v>0.0307692307692308</v>
      </c>
      <c r="G253" s="14" t="n">
        <f aca="false">IFERROR((G252-G251)/G251,0)</f>
        <v>-0.354166666666667</v>
      </c>
      <c r="H253" s="14" t="n">
        <f aca="false">IFERROR((H252-H251)/H251,0)</f>
        <v>-0.182608695652174</v>
      </c>
      <c r="I253" s="14" t="n">
        <f aca="false">IFERROR((I252-I251)/I251,0)</f>
        <v>-0.129268292682927</v>
      </c>
      <c r="J253" s="14" t="n">
        <f aca="false">IFERROR((J252-J251)/J251,0)</f>
        <v>0</v>
      </c>
      <c r="K253" s="15" t="n">
        <f aca="false">IFERROR((SUM(D252:J252)-SUM(D251:J251))/SUM(D251:J251),0)</f>
        <v>-0.192948717948718</v>
      </c>
    </row>
    <row r="254" customFormat="false" ht="15" hidden="false" customHeight="true" outlineLevel="0" collapsed="false">
      <c r="A254" s="42" t="s">
        <v>289</v>
      </c>
      <c r="B254" s="43" t="s">
        <v>290</v>
      </c>
      <c r="C254" s="5" t="s">
        <v>26</v>
      </c>
      <c r="D254" s="6" t="n">
        <v>28</v>
      </c>
      <c r="E254" s="6" t="n">
        <v>18</v>
      </c>
      <c r="F254" s="6" t="n">
        <v>19</v>
      </c>
      <c r="G254" s="6" t="n">
        <v>39</v>
      </c>
      <c r="H254" s="6" t="n">
        <v>10</v>
      </c>
      <c r="I254" s="6" t="n">
        <v>26</v>
      </c>
      <c r="J254" s="6" t="n">
        <v>11</v>
      </c>
      <c r="K254" s="7" t="n">
        <f aca="false">SUM(D254:J254)</f>
        <v>151</v>
      </c>
    </row>
    <row r="255" customFormat="false" ht="15" hidden="false" customHeight="false" outlineLevel="0" collapsed="false">
      <c r="A255" s="42"/>
      <c r="B255" s="42"/>
      <c r="C255" s="44" t="s">
        <v>14</v>
      </c>
      <c r="D255" s="9" t="n">
        <v>22.7</v>
      </c>
      <c r="E255" s="9" t="n">
        <v>23.6</v>
      </c>
      <c r="F255" s="9" t="n">
        <v>23.1</v>
      </c>
      <c r="G255" s="9" t="n">
        <v>18.6</v>
      </c>
      <c r="H255" s="9" t="n">
        <v>19.9</v>
      </c>
      <c r="I255" s="9" t="n">
        <v>32.3</v>
      </c>
      <c r="J255" s="9" t="n">
        <v>20.7</v>
      </c>
      <c r="K255" s="10" t="n">
        <f aca="false">SUM(D255:J255)</f>
        <v>160.9</v>
      </c>
    </row>
    <row r="256" customFormat="false" ht="15" hidden="false" customHeight="false" outlineLevel="0" collapsed="false">
      <c r="A256" s="42"/>
      <c r="B256" s="42"/>
      <c r="C256" s="11" t="s">
        <v>41</v>
      </c>
      <c r="D256" s="14" t="n">
        <f aca="false">IFERROR((D255-D254)/D254,0)</f>
        <v>-0.189285714285714</v>
      </c>
      <c r="E256" s="14" t="n">
        <f aca="false">IFERROR((E255-E254)/E254,0)</f>
        <v>0.311111111111111</v>
      </c>
      <c r="F256" s="14" t="n">
        <f aca="false">IFERROR((F255-F254)/F254,0)</f>
        <v>0.215789473684211</v>
      </c>
      <c r="G256" s="14" t="n">
        <f aca="false">IFERROR((G255-G254)/G254,0)</f>
        <v>-0.523076923076923</v>
      </c>
      <c r="H256" s="14" t="n">
        <f aca="false">IFERROR((H255-H254)/H254,0)</f>
        <v>0.99</v>
      </c>
      <c r="I256" s="14" t="n">
        <f aca="false">IFERROR((I255-I254)/I254,0)</f>
        <v>0.242307692307692</v>
      </c>
      <c r="J256" s="14" t="n">
        <f aca="false">IFERROR((J255-J254)/J254,0)</f>
        <v>0.881818181818182</v>
      </c>
      <c r="K256" s="15" t="n">
        <f aca="false">IFERROR((SUM(D255:J255)-SUM(D254:J254))/SUM(D254:J254),0)</f>
        <v>0.0655629139072846</v>
      </c>
    </row>
    <row r="257" customFormat="false" ht="15" hidden="false" customHeight="true" outlineLevel="0" collapsed="false">
      <c r="A257" s="42" t="s">
        <v>291</v>
      </c>
      <c r="B257" s="43" t="s">
        <v>292</v>
      </c>
      <c r="C257" s="5" t="s">
        <v>26</v>
      </c>
      <c r="D257" s="6" t="n">
        <v>11</v>
      </c>
      <c r="E257" s="6" t="n">
        <v>15</v>
      </c>
      <c r="F257" s="6" t="n">
        <v>6</v>
      </c>
      <c r="G257" s="6" t="n">
        <v>31</v>
      </c>
      <c r="H257" s="6" t="n">
        <v>26</v>
      </c>
      <c r="I257" s="6" t="n">
        <v>37</v>
      </c>
      <c r="J257" s="6" t="n">
        <v>24</v>
      </c>
      <c r="K257" s="7" t="n">
        <f aca="false">SUM(D257:J257)</f>
        <v>150</v>
      </c>
    </row>
    <row r="258" customFormat="false" ht="15" hidden="false" customHeight="false" outlineLevel="0" collapsed="false">
      <c r="A258" s="42"/>
      <c r="B258" s="42"/>
      <c r="C258" s="44" t="s">
        <v>14</v>
      </c>
      <c r="D258" s="9" t="n">
        <v>12.4</v>
      </c>
      <c r="E258" s="9" t="n">
        <v>9.9</v>
      </c>
      <c r="F258" s="9" t="n">
        <v>11.7</v>
      </c>
      <c r="G258" s="9" t="n">
        <v>12.8</v>
      </c>
      <c r="H258" s="9" t="n">
        <v>19.7</v>
      </c>
      <c r="I258" s="9" t="n">
        <v>23.4</v>
      </c>
      <c r="J258" s="9" t="n">
        <v>24.1</v>
      </c>
      <c r="K258" s="10" t="n">
        <f aca="false">SUM(D258:J258)</f>
        <v>114</v>
      </c>
    </row>
    <row r="259" customFormat="false" ht="15" hidden="false" customHeight="false" outlineLevel="0" collapsed="false">
      <c r="A259" s="42"/>
      <c r="B259" s="42"/>
      <c r="C259" s="11" t="s">
        <v>41</v>
      </c>
      <c r="D259" s="14" t="n">
        <f aca="false">IFERROR((D258-D257)/D257,0)</f>
        <v>0.127272727272727</v>
      </c>
      <c r="E259" s="14" t="n">
        <f aca="false">IFERROR((E258-E257)/E257,0)</f>
        <v>-0.34</v>
      </c>
      <c r="F259" s="14" t="n">
        <f aca="false">IFERROR((F258-F257)/F257,0)</f>
        <v>0.95</v>
      </c>
      <c r="G259" s="14" t="n">
        <f aca="false">IFERROR((G258-G257)/G257,0)</f>
        <v>-0.587096774193548</v>
      </c>
      <c r="H259" s="14" t="n">
        <f aca="false">IFERROR((H258-H257)/H257,0)</f>
        <v>-0.242307692307692</v>
      </c>
      <c r="I259" s="14" t="n">
        <f aca="false">IFERROR((I258-I257)/I257,0)</f>
        <v>-0.367567567567568</v>
      </c>
      <c r="J259" s="14" t="n">
        <f aca="false">IFERROR((J258-J257)/J257,0)</f>
        <v>0.00416666666666673</v>
      </c>
      <c r="K259" s="15" t="n">
        <f aca="false">IFERROR((SUM(D258:J258)-SUM(D257:J257))/SUM(D257:J257),0)</f>
        <v>-0.24</v>
      </c>
    </row>
    <row r="260" customFormat="false" ht="15" hidden="false" customHeight="true" outlineLevel="0" collapsed="false">
      <c r="A260" s="42" t="s">
        <v>293</v>
      </c>
      <c r="B260" s="43" t="s">
        <v>294</v>
      </c>
      <c r="C260" s="5" t="s">
        <v>26</v>
      </c>
      <c r="D260" s="6" t="n">
        <v>15</v>
      </c>
      <c r="E260" s="6" t="n">
        <v>18</v>
      </c>
      <c r="F260" s="6" t="n">
        <v>12</v>
      </c>
      <c r="G260" s="6" t="n">
        <v>13</v>
      </c>
      <c r="H260" s="6" t="n">
        <v>30</v>
      </c>
      <c r="I260" s="6" t="n">
        <v>43</v>
      </c>
      <c r="J260" s="6" t="n">
        <v>18</v>
      </c>
      <c r="K260" s="7" t="n">
        <f aca="false">SUM(D260:J260)</f>
        <v>149</v>
      </c>
    </row>
    <row r="261" customFormat="false" ht="15" hidden="false" customHeight="false" outlineLevel="0" collapsed="false">
      <c r="A261" s="42"/>
      <c r="B261" s="42"/>
      <c r="C261" s="44" t="s">
        <v>14</v>
      </c>
      <c r="D261" s="9" t="n">
        <v>15</v>
      </c>
      <c r="E261" s="9" t="n">
        <v>17.8</v>
      </c>
      <c r="F261" s="9" t="n">
        <v>15.1</v>
      </c>
      <c r="G261" s="9" t="n">
        <v>15.8</v>
      </c>
      <c r="H261" s="9" t="n">
        <v>20.4</v>
      </c>
      <c r="I261" s="9" t="n">
        <v>45.7</v>
      </c>
      <c r="J261" s="9" t="n">
        <v>19.2</v>
      </c>
      <c r="K261" s="10" t="n">
        <f aca="false">SUM(D261:J261)</f>
        <v>149</v>
      </c>
    </row>
    <row r="262" customFormat="false" ht="15" hidden="false" customHeight="false" outlineLevel="0" collapsed="false">
      <c r="A262" s="42"/>
      <c r="B262" s="42"/>
      <c r="C262" s="11" t="s">
        <v>41</v>
      </c>
      <c r="D262" s="14" t="n">
        <f aca="false">IFERROR((D261-D260)/D260,0)</f>
        <v>0</v>
      </c>
      <c r="E262" s="14" t="n">
        <f aca="false">IFERROR((E261-E260)/E260,0)</f>
        <v>-0.0111111111111111</v>
      </c>
      <c r="F262" s="14" t="n">
        <f aca="false">IFERROR((F261-F260)/F260,0)</f>
        <v>0.258333333333333</v>
      </c>
      <c r="G262" s="14" t="n">
        <f aca="false">IFERROR((G261-G260)/G260,0)</f>
        <v>0.215384615384615</v>
      </c>
      <c r="H262" s="14" t="n">
        <f aca="false">IFERROR((H261-H260)/H260,0)</f>
        <v>-0.32</v>
      </c>
      <c r="I262" s="14" t="n">
        <f aca="false">IFERROR((I261-I260)/I260,0)</f>
        <v>0.0627906976744187</v>
      </c>
      <c r="J262" s="14" t="n">
        <f aca="false">IFERROR((J261-J260)/J260,0)</f>
        <v>0.0666666666666666</v>
      </c>
      <c r="K262" s="15" t="n">
        <f aca="false">IFERROR((SUM(D261:J261)-SUM(D260:J260))/SUM(D260:J260),0)</f>
        <v>0</v>
      </c>
    </row>
    <row r="263" customFormat="false" ht="15" hidden="false" customHeight="true" outlineLevel="0" collapsed="false">
      <c r="A263" s="42" t="s">
        <v>295</v>
      </c>
      <c r="B263" s="43" t="s">
        <v>296</v>
      </c>
      <c r="C263" s="5" t="s">
        <v>26</v>
      </c>
      <c r="D263" s="6" t="n">
        <v>7</v>
      </c>
      <c r="E263" s="6" t="n">
        <v>17</v>
      </c>
      <c r="F263" s="6" t="n">
        <v>37</v>
      </c>
      <c r="G263" s="6" t="n">
        <v>26</v>
      </c>
      <c r="H263" s="6" t="n">
        <v>15</v>
      </c>
      <c r="I263" s="6" t="n">
        <v>35</v>
      </c>
      <c r="J263" s="6" t="n">
        <v>11</v>
      </c>
      <c r="K263" s="7" t="n">
        <f aca="false">SUM(D263:J263)</f>
        <v>148</v>
      </c>
    </row>
    <row r="264" customFormat="false" ht="15" hidden="false" customHeight="false" outlineLevel="0" collapsed="false">
      <c r="A264" s="42"/>
      <c r="B264" s="42"/>
      <c r="C264" s="44" t="s">
        <v>14</v>
      </c>
      <c r="D264" s="9" t="n">
        <v>11.2</v>
      </c>
      <c r="E264" s="9" t="n">
        <v>18.7</v>
      </c>
      <c r="F264" s="9" t="n">
        <v>19.3</v>
      </c>
      <c r="G264" s="9" t="n">
        <v>27.1</v>
      </c>
      <c r="H264" s="9" t="n">
        <v>22.6</v>
      </c>
      <c r="I264" s="9" t="n">
        <v>28.8</v>
      </c>
      <c r="J264" s="9" t="n">
        <v>14.2</v>
      </c>
      <c r="K264" s="10" t="n">
        <f aca="false">SUM(D264:J264)</f>
        <v>141.9</v>
      </c>
    </row>
    <row r="265" customFormat="false" ht="15" hidden="false" customHeight="false" outlineLevel="0" collapsed="false">
      <c r="A265" s="42"/>
      <c r="B265" s="42"/>
      <c r="C265" s="11" t="s">
        <v>41</v>
      </c>
      <c r="D265" s="14" t="n">
        <f aca="false">IFERROR((D264-D263)/D263,0)</f>
        <v>0.6</v>
      </c>
      <c r="E265" s="14" t="n">
        <f aca="false">IFERROR((E264-E263)/E263,0)</f>
        <v>0.1</v>
      </c>
      <c r="F265" s="14" t="n">
        <f aca="false">IFERROR((F264-F263)/F263,0)</f>
        <v>-0.478378378378378</v>
      </c>
      <c r="G265" s="14" t="n">
        <f aca="false">IFERROR((G264-G263)/G263,0)</f>
        <v>0.0423076923076924</v>
      </c>
      <c r="H265" s="14" t="n">
        <f aca="false">IFERROR((H264-H263)/H263,0)</f>
        <v>0.506666666666667</v>
      </c>
      <c r="I265" s="14" t="n">
        <f aca="false">IFERROR((I264-I263)/I263,0)</f>
        <v>-0.177142857142857</v>
      </c>
      <c r="J265" s="14" t="n">
        <f aca="false">IFERROR((J264-J263)/J263,0)</f>
        <v>0.290909090909091</v>
      </c>
      <c r="K265" s="15" t="n">
        <f aca="false">IFERROR((SUM(D264:J264)-SUM(D263:J263))/SUM(D263:J263),0)</f>
        <v>-0.0412162162162162</v>
      </c>
    </row>
    <row r="266" customFormat="false" ht="15" hidden="false" customHeight="true" outlineLevel="0" collapsed="false">
      <c r="A266" s="42" t="s">
        <v>297</v>
      </c>
      <c r="B266" s="43" t="s">
        <v>298</v>
      </c>
      <c r="C266" s="5" t="s">
        <v>26</v>
      </c>
      <c r="D266" s="6" t="n">
        <v>27</v>
      </c>
      <c r="E266" s="6" t="n">
        <v>23</v>
      </c>
      <c r="F266" s="6" t="n">
        <v>16</v>
      </c>
      <c r="G266" s="6" t="n">
        <v>16</v>
      </c>
      <c r="H266" s="6" t="n">
        <v>28</v>
      </c>
      <c r="I266" s="6" t="n">
        <v>19</v>
      </c>
      <c r="J266" s="6" t="n">
        <v>18</v>
      </c>
      <c r="K266" s="7" t="n">
        <f aca="false">SUM(D266:J266)</f>
        <v>147</v>
      </c>
    </row>
    <row r="267" customFormat="false" ht="15" hidden="false" customHeight="false" outlineLevel="0" collapsed="false">
      <c r="A267" s="42"/>
      <c r="B267" s="42"/>
      <c r="C267" s="44" t="s">
        <v>14</v>
      </c>
      <c r="D267" s="9" t="n">
        <v>25.4</v>
      </c>
      <c r="E267" s="9" t="n">
        <v>21.5</v>
      </c>
      <c r="F267" s="9" t="n">
        <v>22.9</v>
      </c>
      <c r="G267" s="9" t="n">
        <v>21.3</v>
      </c>
      <c r="H267" s="9" t="n">
        <v>21.3</v>
      </c>
      <c r="I267" s="9" t="n">
        <v>34.4</v>
      </c>
      <c r="J267" s="9" t="n">
        <v>26.7</v>
      </c>
      <c r="K267" s="10" t="n">
        <f aca="false">SUM(D267:J267)</f>
        <v>173.5</v>
      </c>
    </row>
    <row r="268" customFormat="false" ht="15" hidden="false" customHeight="false" outlineLevel="0" collapsed="false">
      <c r="A268" s="42"/>
      <c r="B268" s="42"/>
      <c r="C268" s="11" t="s">
        <v>41</v>
      </c>
      <c r="D268" s="14" t="n">
        <f aca="false">IFERROR((D267-D266)/D266,0)</f>
        <v>-0.0592592592592593</v>
      </c>
      <c r="E268" s="14" t="n">
        <f aca="false">IFERROR((E267-E266)/E266,0)</f>
        <v>-0.0652173913043478</v>
      </c>
      <c r="F268" s="14" t="n">
        <f aca="false">IFERROR((F267-F266)/F266,0)</f>
        <v>0.43125</v>
      </c>
      <c r="G268" s="14" t="n">
        <f aca="false">IFERROR((G267-G266)/G266,0)</f>
        <v>0.33125</v>
      </c>
      <c r="H268" s="14" t="n">
        <f aca="false">IFERROR((H267-H266)/H266,0)</f>
        <v>-0.239285714285714</v>
      </c>
      <c r="I268" s="14" t="n">
        <f aca="false">IFERROR((I267-I266)/I266,0)</f>
        <v>0.810526315789474</v>
      </c>
      <c r="J268" s="14" t="n">
        <f aca="false">IFERROR((J267-J266)/J266,0)</f>
        <v>0.483333333333333</v>
      </c>
      <c r="K268" s="15" t="n">
        <f aca="false">IFERROR((SUM(D267:J267)-SUM(D266:J266))/SUM(D266:J266),0)</f>
        <v>0.180272108843537</v>
      </c>
    </row>
    <row r="269" customFormat="false" ht="15" hidden="false" customHeight="true" outlineLevel="0" collapsed="false">
      <c r="A269" s="42" t="s">
        <v>299</v>
      </c>
      <c r="B269" s="43" t="s">
        <v>172</v>
      </c>
      <c r="C269" s="5" t="s">
        <v>26</v>
      </c>
      <c r="D269" s="6" t="n">
        <v>13</v>
      </c>
      <c r="E269" s="6" t="n">
        <v>21</v>
      </c>
      <c r="F269" s="6" t="n">
        <v>11</v>
      </c>
      <c r="G269" s="6" t="n">
        <v>23</v>
      </c>
      <c r="H269" s="6" t="n">
        <v>26</v>
      </c>
      <c r="I269" s="6" t="n">
        <v>36</v>
      </c>
      <c r="J269" s="6" t="n">
        <v>17</v>
      </c>
      <c r="K269" s="7" t="n">
        <f aca="false">SUM(D269:J269)</f>
        <v>147</v>
      </c>
    </row>
    <row r="270" customFormat="false" ht="15" hidden="false" customHeight="false" outlineLevel="0" collapsed="false">
      <c r="A270" s="42"/>
      <c r="B270" s="42"/>
      <c r="C270" s="44" t="s">
        <v>14</v>
      </c>
      <c r="D270" s="9" t="n">
        <v>16.5</v>
      </c>
      <c r="E270" s="9" t="n">
        <v>17.6</v>
      </c>
      <c r="F270" s="9" t="n">
        <v>14.7</v>
      </c>
      <c r="G270" s="9" t="n">
        <v>18.8</v>
      </c>
      <c r="H270" s="9" t="n">
        <v>28.4</v>
      </c>
      <c r="I270" s="9" t="n">
        <v>46.1</v>
      </c>
      <c r="J270" s="9" t="n">
        <v>16.3</v>
      </c>
      <c r="K270" s="10" t="n">
        <f aca="false">SUM(D270:J270)</f>
        <v>158.4</v>
      </c>
    </row>
    <row r="271" customFormat="false" ht="15" hidden="false" customHeight="false" outlineLevel="0" collapsed="false">
      <c r="A271" s="42"/>
      <c r="B271" s="42"/>
      <c r="C271" s="11" t="s">
        <v>41</v>
      </c>
      <c r="D271" s="14" t="n">
        <f aca="false">IFERROR((D270-D269)/D269,0)</f>
        <v>0.269230769230769</v>
      </c>
      <c r="E271" s="14" t="n">
        <f aca="false">IFERROR((E270-E269)/E269,0)</f>
        <v>-0.161904761904762</v>
      </c>
      <c r="F271" s="14" t="n">
        <f aca="false">IFERROR((F270-F269)/F269,0)</f>
        <v>0.336363636363636</v>
      </c>
      <c r="G271" s="14" t="n">
        <f aca="false">IFERROR((G270-G269)/G269,0)</f>
        <v>-0.182608695652174</v>
      </c>
      <c r="H271" s="14" t="n">
        <f aca="false">IFERROR((H270-H269)/H269,0)</f>
        <v>0.0923076923076923</v>
      </c>
      <c r="I271" s="14" t="n">
        <f aca="false">IFERROR((I270-I269)/I269,0)</f>
        <v>0.280555555555556</v>
      </c>
      <c r="J271" s="14" t="n">
        <f aca="false">IFERROR((J270-J269)/J269,0)</f>
        <v>-0.0411764705882353</v>
      </c>
      <c r="K271" s="15" t="n">
        <f aca="false">IFERROR((SUM(D270:J270)-SUM(D269:J269))/SUM(D269:J269),0)</f>
        <v>0.0775510204081633</v>
      </c>
    </row>
    <row r="272" customFormat="false" ht="15" hidden="false" customHeight="true" outlineLevel="0" collapsed="false">
      <c r="A272" s="42" t="s">
        <v>300</v>
      </c>
      <c r="B272" s="43" t="s">
        <v>301</v>
      </c>
      <c r="C272" s="5" t="s">
        <v>26</v>
      </c>
      <c r="D272" s="6" t="n">
        <v>20</v>
      </c>
      <c r="E272" s="6" t="n">
        <v>15</v>
      </c>
      <c r="F272" s="6" t="n">
        <v>14</v>
      </c>
      <c r="G272" s="6" t="n">
        <v>31</v>
      </c>
      <c r="H272" s="6" t="n">
        <v>17</v>
      </c>
      <c r="I272" s="6" t="n">
        <v>31</v>
      </c>
      <c r="J272" s="6" t="n">
        <v>18</v>
      </c>
      <c r="K272" s="7" t="n">
        <f aca="false">SUM(D272:J272)</f>
        <v>146</v>
      </c>
    </row>
    <row r="273" customFormat="false" ht="15" hidden="false" customHeight="false" outlineLevel="0" collapsed="false">
      <c r="A273" s="42"/>
      <c r="B273" s="42"/>
      <c r="C273" s="44" t="s">
        <v>14</v>
      </c>
      <c r="D273" s="9" t="n">
        <v>17.8</v>
      </c>
      <c r="E273" s="9" t="n">
        <v>17.3</v>
      </c>
      <c r="F273" s="9" t="n">
        <v>22.3</v>
      </c>
      <c r="G273" s="9" t="n">
        <v>18.3</v>
      </c>
      <c r="H273" s="9" t="n">
        <v>19.3</v>
      </c>
      <c r="I273" s="9" t="n">
        <v>22</v>
      </c>
      <c r="J273" s="9" t="n">
        <v>15.5</v>
      </c>
      <c r="K273" s="10" t="n">
        <f aca="false">SUM(D273:J273)</f>
        <v>132.5</v>
      </c>
    </row>
    <row r="274" customFormat="false" ht="15" hidden="false" customHeight="false" outlineLevel="0" collapsed="false">
      <c r="A274" s="42"/>
      <c r="B274" s="42"/>
      <c r="C274" s="11" t="s">
        <v>41</v>
      </c>
      <c r="D274" s="14" t="n">
        <f aca="false">IFERROR((D273-D272)/D272,0)</f>
        <v>-0.11</v>
      </c>
      <c r="E274" s="14" t="n">
        <f aca="false">IFERROR((E273-E272)/E272,0)</f>
        <v>0.153333333333333</v>
      </c>
      <c r="F274" s="14" t="n">
        <f aca="false">IFERROR((F273-F272)/F272,0)</f>
        <v>0.592857142857143</v>
      </c>
      <c r="G274" s="14" t="n">
        <f aca="false">IFERROR((G273-G272)/G272,0)</f>
        <v>-0.409677419354839</v>
      </c>
      <c r="H274" s="14" t="n">
        <f aca="false">IFERROR((H273-H272)/H272,0)</f>
        <v>0.135294117647059</v>
      </c>
      <c r="I274" s="14" t="n">
        <f aca="false">IFERROR((I273-I272)/I272,0)</f>
        <v>-0.290322580645161</v>
      </c>
      <c r="J274" s="14" t="n">
        <f aca="false">IFERROR((J273-J272)/J272,0)</f>
        <v>-0.138888888888889</v>
      </c>
      <c r="K274" s="15" t="n">
        <f aca="false">IFERROR((SUM(D273:J273)-SUM(D272:J272))/SUM(D272:J272),0)</f>
        <v>-0.0924657534246575</v>
      </c>
    </row>
    <row r="275" customFormat="false" ht="15" hidden="false" customHeight="true" outlineLevel="0" collapsed="false">
      <c r="A275" s="42" t="s">
        <v>302</v>
      </c>
      <c r="B275" s="43" t="s">
        <v>303</v>
      </c>
      <c r="C275" s="5" t="s">
        <v>26</v>
      </c>
      <c r="D275" s="6" t="n">
        <v>31</v>
      </c>
      <c r="E275" s="6" t="n">
        <v>21</v>
      </c>
      <c r="F275" s="6" t="n">
        <v>24</v>
      </c>
      <c r="G275" s="6" t="n">
        <v>15</v>
      </c>
      <c r="H275" s="6" t="n">
        <v>19</v>
      </c>
      <c r="I275" s="6" t="n">
        <v>24</v>
      </c>
      <c r="J275" s="6" t="n">
        <v>12</v>
      </c>
      <c r="K275" s="7" t="n">
        <f aca="false">SUM(D275:J275)</f>
        <v>146</v>
      </c>
    </row>
    <row r="276" customFormat="false" ht="15" hidden="false" customHeight="false" outlineLevel="0" collapsed="false">
      <c r="A276" s="42"/>
      <c r="B276" s="42"/>
      <c r="C276" s="44" t="s">
        <v>14</v>
      </c>
      <c r="D276" s="9" t="n">
        <v>20.5</v>
      </c>
      <c r="E276" s="9" t="n">
        <v>20.9</v>
      </c>
      <c r="F276" s="9" t="n">
        <v>21.1</v>
      </c>
      <c r="G276" s="9" t="n">
        <v>18.1</v>
      </c>
      <c r="H276" s="9" t="n">
        <v>15.5</v>
      </c>
      <c r="I276" s="9" t="n">
        <v>26.9</v>
      </c>
      <c r="J276" s="9" t="n">
        <v>14.4</v>
      </c>
      <c r="K276" s="10" t="n">
        <f aca="false">SUM(D276:J276)</f>
        <v>137.4</v>
      </c>
    </row>
    <row r="277" customFormat="false" ht="15" hidden="false" customHeight="false" outlineLevel="0" collapsed="false">
      <c r="A277" s="42"/>
      <c r="B277" s="42"/>
      <c r="C277" s="11" t="s">
        <v>41</v>
      </c>
      <c r="D277" s="14" t="n">
        <f aca="false">IFERROR((D276-D275)/D275,0)</f>
        <v>-0.338709677419355</v>
      </c>
      <c r="E277" s="14" t="n">
        <f aca="false">IFERROR((E276-E275)/E275,0)</f>
        <v>-0.00476190476190483</v>
      </c>
      <c r="F277" s="14" t="n">
        <f aca="false">IFERROR((F276-F275)/F275,0)</f>
        <v>-0.120833333333333</v>
      </c>
      <c r="G277" s="14" t="n">
        <f aca="false">IFERROR((G276-G275)/G275,0)</f>
        <v>0.206666666666667</v>
      </c>
      <c r="H277" s="14" t="n">
        <f aca="false">IFERROR((H276-H275)/H275,0)</f>
        <v>-0.184210526315789</v>
      </c>
      <c r="I277" s="14" t="n">
        <f aca="false">IFERROR((I276-I275)/I275,0)</f>
        <v>0.120833333333333</v>
      </c>
      <c r="J277" s="14" t="n">
        <f aca="false">IFERROR((J276-J275)/J275,0)</f>
        <v>0.2</v>
      </c>
      <c r="K277" s="15" t="n">
        <f aca="false">IFERROR((SUM(D276:J276)-SUM(D275:J275))/SUM(D275:J275),0)</f>
        <v>-0.0589041095890411</v>
      </c>
    </row>
    <row r="278" customFormat="false" ht="15" hidden="false" customHeight="true" outlineLevel="0" collapsed="false">
      <c r="A278" s="42" t="s">
        <v>304</v>
      </c>
      <c r="B278" s="43" t="s">
        <v>213</v>
      </c>
      <c r="C278" s="5" t="s">
        <v>26</v>
      </c>
      <c r="D278" s="6" t="n">
        <v>16</v>
      </c>
      <c r="E278" s="6" t="n">
        <v>26</v>
      </c>
      <c r="F278" s="6" t="n">
        <v>26</v>
      </c>
      <c r="G278" s="6" t="n">
        <v>22</v>
      </c>
      <c r="H278" s="6" t="n">
        <v>13</v>
      </c>
      <c r="I278" s="6" t="n">
        <v>25</v>
      </c>
      <c r="J278" s="6" t="n">
        <v>18</v>
      </c>
      <c r="K278" s="7" t="n">
        <f aca="false">SUM(D278:J278)</f>
        <v>146</v>
      </c>
    </row>
    <row r="279" customFormat="false" ht="15" hidden="false" customHeight="false" outlineLevel="0" collapsed="false">
      <c r="A279" s="42"/>
      <c r="B279" s="42"/>
      <c r="C279" s="44" t="s">
        <v>14</v>
      </c>
      <c r="D279" s="9" t="n">
        <v>22.9</v>
      </c>
      <c r="E279" s="9" t="n">
        <v>26.2</v>
      </c>
      <c r="F279" s="9" t="n">
        <v>22.9</v>
      </c>
      <c r="G279" s="9" t="n">
        <v>23.7</v>
      </c>
      <c r="H279" s="9" t="n">
        <v>19</v>
      </c>
      <c r="I279" s="9" t="n">
        <v>40.1</v>
      </c>
      <c r="J279" s="9" t="n">
        <v>28.5</v>
      </c>
      <c r="K279" s="10" t="n">
        <f aca="false">SUM(D279:J279)</f>
        <v>183.3</v>
      </c>
    </row>
    <row r="280" customFormat="false" ht="15" hidden="false" customHeight="false" outlineLevel="0" collapsed="false">
      <c r="A280" s="42"/>
      <c r="B280" s="42"/>
      <c r="C280" s="11" t="s">
        <v>41</v>
      </c>
      <c r="D280" s="14" t="n">
        <f aca="false">IFERROR((D279-D278)/D278,0)</f>
        <v>0.43125</v>
      </c>
      <c r="E280" s="14" t="n">
        <f aca="false">IFERROR((E279-E278)/E278,0)</f>
        <v>0.00769230769230767</v>
      </c>
      <c r="F280" s="14" t="n">
        <f aca="false">IFERROR((F279-F278)/F278,0)</f>
        <v>-0.119230769230769</v>
      </c>
      <c r="G280" s="14" t="n">
        <f aca="false">IFERROR((G279-G278)/G278,0)</f>
        <v>0.0772727272727272</v>
      </c>
      <c r="H280" s="14" t="n">
        <f aca="false">IFERROR((H279-H278)/H278,0)</f>
        <v>0.461538461538462</v>
      </c>
      <c r="I280" s="14" t="n">
        <f aca="false">IFERROR((I279-I278)/I278,0)</f>
        <v>0.604</v>
      </c>
      <c r="J280" s="14" t="n">
        <f aca="false">IFERROR((J279-J278)/J278,0)</f>
        <v>0.583333333333333</v>
      </c>
      <c r="K280" s="15" t="n">
        <f aca="false">IFERROR((SUM(D279:J279)-SUM(D278:J278))/SUM(D278:J278),0)</f>
        <v>0.255479452054795</v>
      </c>
    </row>
    <row r="281" customFormat="false" ht="15" hidden="false" customHeight="true" outlineLevel="0" collapsed="false">
      <c r="A281" s="42" t="s">
        <v>305</v>
      </c>
      <c r="B281" s="43" t="s">
        <v>306</v>
      </c>
      <c r="C281" s="5" t="s">
        <v>26</v>
      </c>
      <c r="D281" s="6" t="n">
        <v>3</v>
      </c>
      <c r="E281" s="6" t="n">
        <v>8</v>
      </c>
      <c r="F281" s="6" t="n">
        <v>22</v>
      </c>
      <c r="G281" s="6" t="n">
        <v>19</v>
      </c>
      <c r="H281" s="6" t="n">
        <v>30</v>
      </c>
      <c r="I281" s="6" t="n">
        <v>48</v>
      </c>
      <c r="J281" s="6" t="n">
        <v>15</v>
      </c>
      <c r="K281" s="7" t="n">
        <f aca="false">SUM(D281:J281)</f>
        <v>145</v>
      </c>
    </row>
    <row r="282" customFormat="false" ht="15" hidden="false" customHeight="false" outlineLevel="0" collapsed="false">
      <c r="A282" s="42"/>
      <c r="B282" s="42"/>
      <c r="C282" s="44" t="s">
        <v>14</v>
      </c>
      <c r="D282" s="9" t="n">
        <v>7.8</v>
      </c>
      <c r="E282" s="9" t="n">
        <v>11.8</v>
      </c>
      <c r="F282" s="9" t="n">
        <v>12.5</v>
      </c>
      <c r="G282" s="9" t="n">
        <v>16.5</v>
      </c>
      <c r="H282" s="9" t="n">
        <v>23.3</v>
      </c>
      <c r="I282" s="9" t="n">
        <v>33.5</v>
      </c>
      <c r="J282" s="9" t="n">
        <v>16</v>
      </c>
      <c r="K282" s="10" t="n">
        <f aca="false">SUM(D282:J282)</f>
        <v>121.4</v>
      </c>
    </row>
    <row r="283" customFormat="false" ht="15" hidden="false" customHeight="false" outlineLevel="0" collapsed="false">
      <c r="A283" s="42"/>
      <c r="B283" s="42"/>
      <c r="C283" s="11" t="s">
        <v>41</v>
      </c>
      <c r="D283" s="14" t="n">
        <f aca="false">IFERROR((D282-D281)/D281,0)</f>
        <v>1.6</v>
      </c>
      <c r="E283" s="14" t="n">
        <f aca="false">IFERROR((E282-E281)/E281,0)</f>
        <v>0.475</v>
      </c>
      <c r="F283" s="14" t="n">
        <f aca="false">IFERROR((F282-F281)/F281,0)</f>
        <v>-0.431818181818182</v>
      </c>
      <c r="G283" s="14" t="n">
        <f aca="false">IFERROR((G282-G281)/G281,0)</f>
        <v>-0.131578947368421</v>
      </c>
      <c r="H283" s="14" t="n">
        <f aca="false">IFERROR((H282-H281)/H281,0)</f>
        <v>-0.223333333333333</v>
      </c>
      <c r="I283" s="14" t="n">
        <f aca="false">IFERROR((I282-I281)/I281,0)</f>
        <v>-0.302083333333333</v>
      </c>
      <c r="J283" s="14" t="n">
        <f aca="false">IFERROR((J282-J281)/J281,0)</f>
        <v>0.0666666666666667</v>
      </c>
      <c r="K283" s="15" t="n">
        <f aca="false">IFERROR((SUM(D282:J282)-SUM(D281:J281))/SUM(D281:J281),0)</f>
        <v>-0.162758620689655</v>
      </c>
    </row>
    <row r="284" customFormat="false" ht="15" hidden="false" customHeight="true" outlineLevel="0" collapsed="false">
      <c r="A284" s="42" t="s">
        <v>307</v>
      </c>
      <c r="B284" s="43" t="s">
        <v>308</v>
      </c>
      <c r="C284" s="5" t="s">
        <v>26</v>
      </c>
      <c r="D284" s="6" t="n">
        <v>25</v>
      </c>
      <c r="E284" s="6" t="n">
        <v>18</v>
      </c>
      <c r="F284" s="6" t="n">
        <v>19</v>
      </c>
      <c r="G284" s="6" t="n">
        <v>37</v>
      </c>
      <c r="H284" s="6" t="n">
        <v>16</v>
      </c>
      <c r="I284" s="6" t="n">
        <v>20</v>
      </c>
      <c r="J284" s="6" t="n">
        <v>9</v>
      </c>
      <c r="K284" s="7" t="n">
        <f aca="false">SUM(D284:J284)</f>
        <v>144</v>
      </c>
    </row>
    <row r="285" customFormat="false" ht="15" hidden="false" customHeight="false" outlineLevel="0" collapsed="false">
      <c r="A285" s="42"/>
      <c r="B285" s="42"/>
      <c r="C285" s="44" t="s">
        <v>14</v>
      </c>
      <c r="D285" s="9" t="n">
        <v>21.7</v>
      </c>
      <c r="E285" s="9" t="n">
        <v>19</v>
      </c>
      <c r="F285" s="9" t="n">
        <v>16.8</v>
      </c>
      <c r="G285" s="9" t="n">
        <v>17.3</v>
      </c>
      <c r="H285" s="9" t="n">
        <v>20.8</v>
      </c>
      <c r="I285" s="9" t="n">
        <v>25.4</v>
      </c>
      <c r="J285" s="9" t="n">
        <v>10.4</v>
      </c>
      <c r="K285" s="10" t="n">
        <f aca="false">SUM(D285:J285)</f>
        <v>131.4</v>
      </c>
    </row>
    <row r="286" customFormat="false" ht="15" hidden="false" customHeight="false" outlineLevel="0" collapsed="false">
      <c r="A286" s="42"/>
      <c r="B286" s="42"/>
      <c r="C286" s="11" t="s">
        <v>41</v>
      </c>
      <c r="D286" s="14" t="n">
        <f aca="false">IFERROR((D285-D284)/D284,0)</f>
        <v>-0.132</v>
      </c>
      <c r="E286" s="14" t="n">
        <f aca="false">IFERROR((E285-E284)/E284,0)</f>
        <v>0.0555555555555556</v>
      </c>
      <c r="F286" s="14" t="n">
        <f aca="false">IFERROR((F285-F284)/F284,0)</f>
        <v>-0.11578947368421</v>
      </c>
      <c r="G286" s="14" t="n">
        <f aca="false">IFERROR((G285-G284)/G284,0)</f>
        <v>-0.532432432432432</v>
      </c>
      <c r="H286" s="14" t="n">
        <f aca="false">IFERROR((H285-H284)/H284,0)</f>
        <v>0.3</v>
      </c>
      <c r="I286" s="14" t="n">
        <f aca="false">IFERROR((I285-I284)/I284,0)</f>
        <v>0.27</v>
      </c>
      <c r="J286" s="14" t="n">
        <f aca="false">IFERROR((J285-J284)/J284,0)</f>
        <v>0.155555555555556</v>
      </c>
      <c r="K286" s="15" t="n">
        <f aca="false">IFERROR((SUM(D285:J285)-SUM(D284:J284))/SUM(D284:J284),0)</f>
        <v>-0.0875</v>
      </c>
    </row>
    <row r="287" customFormat="false" ht="15" hidden="false" customHeight="true" outlineLevel="0" collapsed="false">
      <c r="A287" s="42" t="s">
        <v>309</v>
      </c>
      <c r="B287" s="43" t="s">
        <v>310</v>
      </c>
      <c r="C287" s="5" t="s">
        <v>26</v>
      </c>
      <c r="D287" s="6" t="n">
        <v>28</v>
      </c>
      <c r="E287" s="6" t="n">
        <v>26</v>
      </c>
      <c r="F287" s="6" t="n">
        <v>16</v>
      </c>
      <c r="G287" s="6" t="n">
        <v>27</v>
      </c>
      <c r="H287" s="6" t="n">
        <v>13</v>
      </c>
      <c r="I287" s="6" t="n">
        <v>28</v>
      </c>
      <c r="J287" s="6" t="n">
        <v>5</v>
      </c>
      <c r="K287" s="7" t="n">
        <f aca="false">SUM(D287:J287)</f>
        <v>143</v>
      </c>
    </row>
    <row r="288" customFormat="false" ht="15" hidden="false" customHeight="false" outlineLevel="0" collapsed="false">
      <c r="A288" s="42"/>
      <c r="B288" s="42"/>
      <c r="C288" s="44" t="s">
        <v>14</v>
      </c>
      <c r="D288" s="9" t="n">
        <v>8.2</v>
      </c>
      <c r="E288" s="9" t="n">
        <v>13.3</v>
      </c>
      <c r="F288" s="9" t="n">
        <v>21.6</v>
      </c>
      <c r="G288" s="9" t="n">
        <v>18.7</v>
      </c>
      <c r="H288" s="9" t="n">
        <v>13.3</v>
      </c>
      <c r="I288" s="9" t="n">
        <v>18.3</v>
      </c>
      <c r="J288" s="9" t="n">
        <v>8</v>
      </c>
      <c r="K288" s="10" t="n">
        <f aca="false">SUM(D288:J288)</f>
        <v>101.4</v>
      </c>
    </row>
    <row r="289" customFormat="false" ht="15" hidden="false" customHeight="false" outlineLevel="0" collapsed="false">
      <c r="A289" s="42"/>
      <c r="B289" s="42"/>
      <c r="C289" s="11" t="s">
        <v>41</v>
      </c>
      <c r="D289" s="14" t="n">
        <f aca="false">IFERROR((D288-D287)/D287,0)</f>
        <v>-0.707142857142857</v>
      </c>
      <c r="E289" s="14" t="n">
        <f aca="false">IFERROR((E288-E287)/E287,0)</f>
        <v>-0.488461538461538</v>
      </c>
      <c r="F289" s="14" t="n">
        <f aca="false">IFERROR((F288-F287)/F287,0)</f>
        <v>0.35</v>
      </c>
      <c r="G289" s="14" t="n">
        <f aca="false">IFERROR((G288-G287)/G287,0)</f>
        <v>-0.307407407407407</v>
      </c>
      <c r="H289" s="14" t="n">
        <f aca="false">IFERROR((H288-H287)/H287,0)</f>
        <v>0.0230769230769231</v>
      </c>
      <c r="I289" s="14" t="n">
        <f aca="false">IFERROR((I288-I287)/I287,0)</f>
        <v>-0.346428571428571</v>
      </c>
      <c r="J289" s="14" t="n">
        <f aca="false">IFERROR((J288-J287)/J287,0)</f>
        <v>0.6</v>
      </c>
      <c r="K289" s="15" t="n">
        <f aca="false">IFERROR((SUM(D288:J288)-SUM(D287:J287))/SUM(D287:J287),0)</f>
        <v>-0.290909090909091</v>
      </c>
    </row>
    <row r="290" customFormat="false" ht="15" hidden="false" customHeight="true" outlineLevel="0" collapsed="false">
      <c r="A290" s="42" t="s">
        <v>311</v>
      </c>
      <c r="B290" s="43" t="s">
        <v>312</v>
      </c>
      <c r="C290" s="5" t="s">
        <v>26</v>
      </c>
      <c r="D290" s="6" t="n">
        <v>11</v>
      </c>
      <c r="E290" s="6" t="n">
        <v>10</v>
      </c>
      <c r="F290" s="6" t="n">
        <v>15</v>
      </c>
      <c r="G290" s="6" t="n">
        <v>19</v>
      </c>
      <c r="H290" s="6" t="n">
        <v>25</v>
      </c>
      <c r="I290" s="6" t="n">
        <v>48</v>
      </c>
      <c r="J290" s="6" t="n">
        <v>15</v>
      </c>
      <c r="K290" s="7" t="n">
        <f aca="false">SUM(D290:J290)</f>
        <v>143</v>
      </c>
    </row>
    <row r="291" customFormat="false" ht="15" hidden="false" customHeight="false" outlineLevel="0" collapsed="false">
      <c r="A291" s="42"/>
      <c r="B291" s="42"/>
      <c r="C291" s="44" t="s">
        <v>14</v>
      </c>
      <c r="D291" s="9" t="n">
        <v>10.6</v>
      </c>
      <c r="E291" s="9" t="n">
        <v>15.4</v>
      </c>
      <c r="F291" s="9" t="n">
        <v>14.8</v>
      </c>
      <c r="G291" s="9" t="n">
        <v>18.3</v>
      </c>
      <c r="H291" s="9" t="n">
        <v>20.3</v>
      </c>
      <c r="I291" s="9" t="n">
        <v>52.7</v>
      </c>
      <c r="J291" s="9" t="n">
        <v>30.4</v>
      </c>
      <c r="K291" s="10" t="n">
        <f aca="false">SUM(D291:J291)</f>
        <v>162.5</v>
      </c>
    </row>
    <row r="292" customFormat="false" ht="15" hidden="false" customHeight="false" outlineLevel="0" collapsed="false">
      <c r="A292" s="42"/>
      <c r="B292" s="42"/>
      <c r="C292" s="11" t="s">
        <v>41</v>
      </c>
      <c r="D292" s="14" t="n">
        <f aca="false">IFERROR((D291-D290)/D290,0)</f>
        <v>-0.0363636363636364</v>
      </c>
      <c r="E292" s="14" t="n">
        <f aca="false">IFERROR((E291-E290)/E290,0)</f>
        <v>0.54</v>
      </c>
      <c r="F292" s="14" t="n">
        <f aca="false">IFERROR((F291-F290)/F290,0)</f>
        <v>-0.0133333333333333</v>
      </c>
      <c r="G292" s="14" t="n">
        <f aca="false">IFERROR((G291-G290)/G290,0)</f>
        <v>-0.0368421052631579</v>
      </c>
      <c r="H292" s="14" t="n">
        <f aca="false">IFERROR((H291-H290)/H290,0)</f>
        <v>-0.188</v>
      </c>
      <c r="I292" s="14" t="n">
        <f aca="false">IFERROR((I291-I290)/I290,0)</f>
        <v>0.0979166666666667</v>
      </c>
      <c r="J292" s="14" t="n">
        <f aca="false">IFERROR((J291-J290)/J290,0)</f>
        <v>1.02666666666667</v>
      </c>
      <c r="K292" s="15" t="n">
        <f aca="false">IFERROR((SUM(D291:J291)-SUM(D290:J290))/SUM(D290:J290),0)</f>
        <v>0.136363636363636</v>
      </c>
    </row>
    <row r="293" customFormat="false" ht="15" hidden="false" customHeight="true" outlineLevel="0" collapsed="false">
      <c r="A293" s="42" t="s">
        <v>313</v>
      </c>
      <c r="B293" s="43" t="s">
        <v>288</v>
      </c>
      <c r="C293" s="5" t="s">
        <v>26</v>
      </c>
      <c r="D293" s="6" t="n">
        <v>12</v>
      </c>
      <c r="E293" s="6" t="n">
        <v>9</v>
      </c>
      <c r="F293" s="6" t="n">
        <v>12</v>
      </c>
      <c r="G293" s="6" t="n">
        <v>22</v>
      </c>
      <c r="H293" s="6" t="n">
        <v>22</v>
      </c>
      <c r="I293" s="6" t="n">
        <v>53</v>
      </c>
      <c r="J293" s="6" t="n">
        <v>11</v>
      </c>
      <c r="K293" s="7" t="n">
        <f aca="false">SUM(D293:J293)</f>
        <v>141</v>
      </c>
    </row>
    <row r="294" customFormat="false" ht="15" hidden="false" customHeight="false" outlineLevel="0" collapsed="false">
      <c r="A294" s="42"/>
      <c r="B294" s="42"/>
      <c r="C294" s="44" t="s">
        <v>14</v>
      </c>
      <c r="D294" s="9" t="n">
        <v>12.6</v>
      </c>
      <c r="E294" s="9" t="n">
        <v>14.3</v>
      </c>
      <c r="F294" s="9" t="n">
        <v>16.2</v>
      </c>
      <c r="G294" s="9" t="n">
        <v>15.5</v>
      </c>
      <c r="H294" s="9" t="n">
        <v>17.1</v>
      </c>
      <c r="I294" s="9" t="n">
        <v>38.7</v>
      </c>
      <c r="J294" s="9" t="n">
        <v>13.3</v>
      </c>
      <c r="K294" s="10" t="n">
        <f aca="false">SUM(D294:J294)</f>
        <v>127.7</v>
      </c>
    </row>
    <row r="295" customFormat="false" ht="15" hidden="false" customHeight="false" outlineLevel="0" collapsed="false">
      <c r="A295" s="42"/>
      <c r="B295" s="42"/>
      <c r="C295" s="11" t="s">
        <v>41</v>
      </c>
      <c r="D295" s="14" t="n">
        <f aca="false">IFERROR((D294-D293)/D293,0)</f>
        <v>0.05</v>
      </c>
      <c r="E295" s="14" t="n">
        <f aca="false">IFERROR((E294-E293)/E293,0)</f>
        <v>0.588888888888889</v>
      </c>
      <c r="F295" s="14" t="n">
        <f aca="false">IFERROR((F294-F293)/F293,0)</f>
        <v>0.35</v>
      </c>
      <c r="G295" s="14" t="n">
        <f aca="false">IFERROR((G294-G293)/G293,0)</f>
        <v>-0.295454545454545</v>
      </c>
      <c r="H295" s="14" t="n">
        <f aca="false">IFERROR((H294-H293)/H293,0)</f>
        <v>-0.222727272727273</v>
      </c>
      <c r="I295" s="14" t="n">
        <f aca="false">IFERROR((I294-I293)/I293,0)</f>
        <v>-0.269811320754717</v>
      </c>
      <c r="J295" s="14" t="n">
        <f aca="false">IFERROR((J294-J293)/J293,0)</f>
        <v>0.209090909090909</v>
      </c>
      <c r="K295" s="15" t="n">
        <f aca="false">IFERROR((SUM(D294:J294)-SUM(D293:J293))/SUM(D293:J293),0)</f>
        <v>-0.0943262411347518</v>
      </c>
    </row>
    <row r="296" customFormat="false" ht="15" hidden="false" customHeight="true" outlineLevel="0" collapsed="false">
      <c r="A296" s="42" t="s">
        <v>314</v>
      </c>
      <c r="B296" s="43" t="s">
        <v>315</v>
      </c>
      <c r="C296" s="5" t="s">
        <v>26</v>
      </c>
      <c r="D296" s="6" t="n">
        <v>16</v>
      </c>
      <c r="E296" s="6" t="n">
        <v>15</v>
      </c>
      <c r="F296" s="6" t="n">
        <v>26</v>
      </c>
      <c r="G296" s="6" t="n">
        <v>15</v>
      </c>
      <c r="H296" s="6" t="n">
        <v>17</v>
      </c>
      <c r="I296" s="6" t="n">
        <v>37</v>
      </c>
      <c r="J296" s="6" t="n">
        <v>14</v>
      </c>
      <c r="K296" s="7" t="n">
        <f aca="false">SUM(D296:J296)</f>
        <v>140</v>
      </c>
    </row>
    <row r="297" customFormat="false" ht="15" hidden="false" customHeight="false" outlineLevel="0" collapsed="false">
      <c r="A297" s="42"/>
      <c r="B297" s="42"/>
      <c r="C297" s="44" t="s">
        <v>14</v>
      </c>
      <c r="D297" s="9" t="n">
        <v>15</v>
      </c>
      <c r="E297" s="9" t="n">
        <v>19.7</v>
      </c>
      <c r="F297" s="9" t="n">
        <v>21</v>
      </c>
      <c r="G297" s="9" t="n">
        <v>18.8</v>
      </c>
      <c r="H297" s="9" t="n">
        <v>16.5</v>
      </c>
      <c r="I297" s="9" t="n">
        <v>31.2</v>
      </c>
      <c r="J297" s="9" t="n">
        <v>21.4</v>
      </c>
      <c r="K297" s="10" t="n">
        <f aca="false">SUM(D297:J297)</f>
        <v>143.6</v>
      </c>
    </row>
    <row r="298" customFormat="false" ht="15" hidden="false" customHeight="false" outlineLevel="0" collapsed="false">
      <c r="A298" s="42"/>
      <c r="B298" s="42"/>
      <c r="C298" s="11" t="s">
        <v>41</v>
      </c>
      <c r="D298" s="14" t="n">
        <f aca="false">IFERROR((D297-D296)/D296,0)</f>
        <v>-0.0625</v>
      </c>
      <c r="E298" s="14" t="n">
        <f aca="false">IFERROR((E297-E296)/E296,0)</f>
        <v>0.313333333333333</v>
      </c>
      <c r="F298" s="14" t="n">
        <f aca="false">IFERROR((F297-F296)/F296,0)</f>
        <v>-0.192307692307692</v>
      </c>
      <c r="G298" s="14" t="n">
        <f aca="false">IFERROR((G297-G296)/G296,0)</f>
        <v>0.253333333333333</v>
      </c>
      <c r="H298" s="14" t="n">
        <f aca="false">IFERROR((H297-H296)/H296,0)</f>
        <v>-0.0294117647058824</v>
      </c>
      <c r="I298" s="14" t="n">
        <f aca="false">IFERROR((I297-I296)/I296,0)</f>
        <v>-0.156756756756757</v>
      </c>
      <c r="J298" s="14" t="n">
        <f aca="false">IFERROR((J297-J296)/J296,0)</f>
        <v>0.528571428571429</v>
      </c>
      <c r="K298" s="15" t="n">
        <f aca="false">IFERROR((SUM(D297:J297)-SUM(D296:J296))/SUM(D296:J296),0)</f>
        <v>0.0257142857142857</v>
      </c>
    </row>
    <row r="299" customFormat="false" ht="15" hidden="false" customHeight="true" outlineLevel="0" collapsed="false">
      <c r="A299" s="42" t="s">
        <v>316</v>
      </c>
      <c r="B299" s="43" t="s">
        <v>317</v>
      </c>
      <c r="C299" s="5" t="s">
        <v>26</v>
      </c>
      <c r="D299" s="6" t="n">
        <v>20</v>
      </c>
      <c r="E299" s="6" t="n">
        <v>25</v>
      </c>
      <c r="F299" s="6" t="n">
        <v>19</v>
      </c>
      <c r="G299" s="6" t="n">
        <v>21</v>
      </c>
      <c r="H299" s="6" t="n">
        <v>13</v>
      </c>
      <c r="I299" s="6" t="n">
        <v>25</v>
      </c>
      <c r="J299" s="6" t="n">
        <v>14</v>
      </c>
      <c r="K299" s="7" t="n">
        <f aca="false">SUM(D299:J299)</f>
        <v>137</v>
      </c>
    </row>
    <row r="300" customFormat="false" ht="15" hidden="false" customHeight="false" outlineLevel="0" collapsed="false">
      <c r="A300" s="42"/>
      <c r="B300" s="42"/>
      <c r="C300" s="44" t="s">
        <v>14</v>
      </c>
      <c r="D300" s="9" t="n">
        <v>16.3</v>
      </c>
      <c r="E300" s="9" t="n">
        <v>16.1</v>
      </c>
      <c r="F300" s="9" t="n">
        <v>17.4</v>
      </c>
      <c r="G300" s="9" t="n">
        <v>15.4</v>
      </c>
      <c r="H300" s="9" t="n">
        <v>16.3</v>
      </c>
      <c r="I300" s="9" t="n">
        <v>28</v>
      </c>
      <c r="J300" s="9" t="n">
        <v>13.8</v>
      </c>
      <c r="K300" s="10" t="n">
        <f aca="false">SUM(D300:J300)</f>
        <v>123.3</v>
      </c>
    </row>
    <row r="301" customFormat="false" ht="15" hidden="false" customHeight="false" outlineLevel="0" collapsed="false">
      <c r="A301" s="42"/>
      <c r="B301" s="42"/>
      <c r="C301" s="11" t="s">
        <v>41</v>
      </c>
      <c r="D301" s="14" t="n">
        <f aca="false">IFERROR((D300-D299)/D299,0)</f>
        <v>-0.185</v>
      </c>
      <c r="E301" s="14" t="n">
        <f aca="false">IFERROR((E300-E299)/E299,0)</f>
        <v>-0.356</v>
      </c>
      <c r="F301" s="14" t="n">
        <f aca="false">IFERROR((F300-F299)/F299,0)</f>
        <v>-0.0842105263157896</v>
      </c>
      <c r="G301" s="14" t="n">
        <f aca="false">IFERROR((G300-G299)/G299,0)</f>
        <v>-0.266666666666667</v>
      </c>
      <c r="H301" s="14" t="n">
        <f aca="false">IFERROR((H300-H299)/H299,0)</f>
        <v>0.253846153846154</v>
      </c>
      <c r="I301" s="14" t="n">
        <f aca="false">IFERROR((I300-I299)/I299,0)</f>
        <v>0.12</v>
      </c>
      <c r="J301" s="14" t="n">
        <f aca="false">IFERROR((J300-J299)/J299,0)</f>
        <v>-0.0142857142857142</v>
      </c>
      <c r="K301" s="15" t="n">
        <f aca="false">IFERROR((SUM(D300:J300)-SUM(D299:J299))/SUM(D299:J299),0)</f>
        <v>-0.1</v>
      </c>
    </row>
    <row r="302" customFormat="false" ht="15" hidden="false" customHeight="true" outlineLevel="0" collapsed="false">
      <c r="A302" s="42" t="s">
        <v>318</v>
      </c>
      <c r="B302" s="43" t="s">
        <v>319</v>
      </c>
      <c r="C302" s="5" t="s">
        <v>26</v>
      </c>
      <c r="D302" s="6" t="n">
        <v>13</v>
      </c>
      <c r="E302" s="6" t="n">
        <v>12</v>
      </c>
      <c r="F302" s="6" t="n">
        <v>11</v>
      </c>
      <c r="G302" s="6" t="n">
        <v>24</v>
      </c>
      <c r="H302" s="6" t="n">
        <v>17</v>
      </c>
      <c r="I302" s="6" t="n">
        <v>46</v>
      </c>
      <c r="J302" s="6" t="n">
        <v>14</v>
      </c>
      <c r="K302" s="7" t="n">
        <f aca="false">SUM(D302:J302)</f>
        <v>137</v>
      </c>
    </row>
    <row r="303" customFormat="false" ht="15" hidden="false" customHeight="false" outlineLevel="0" collapsed="false">
      <c r="A303" s="42"/>
      <c r="B303" s="42"/>
      <c r="C303" s="44" t="s">
        <v>14</v>
      </c>
      <c r="D303" s="9" t="n">
        <v>14.8</v>
      </c>
      <c r="E303" s="9" t="n">
        <v>12.8</v>
      </c>
      <c r="F303" s="9" t="n">
        <v>12.3</v>
      </c>
      <c r="G303" s="9" t="n">
        <v>16.8</v>
      </c>
      <c r="H303" s="9" t="n">
        <v>21.4</v>
      </c>
      <c r="I303" s="9" t="n">
        <v>37.5</v>
      </c>
      <c r="J303" s="9" t="n">
        <v>19</v>
      </c>
      <c r="K303" s="10" t="n">
        <f aca="false">SUM(D303:J303)</f>
        <v>134.6</v>
      </c>
    </row>
    <row r="304" customFormat="false" ht="15" hidden="false" customHeight="false" outlineLevel="0" collapsed="false">
      <c r="A304" s="42"/>
      <c r="B304" s="42"/>
      <c r="C304" s="11" t="s">
        <v>41</v>
      </c>
      <c r="D304" s="14" t="n">
        <f aca="false">IFERROR((D303-D302)/D302,0)</f>
        <v>0.138461538461539</v>
      </c>
      <c r="E304" s="14" t="n">
        <f aca="false">IFERROR((E303-E302)/E302,0)</f>
        <v>0.0666666666666667</v>
      </c>
      <c r="F304" s="14" t="n">
        <f aca="false">IFERROR((F303-F302)/F302,0)</f>
        <v>0.118181818181818</v>
      </c>
      <c r="G304" s="14" t="n">
        <f aca="false">IFERROR((G303-G302)/G302,0)</f>
        <v>-0.3</v>
      </c>
      <c r="H304" s="14" t="n">
        <f aca="false">IFERROR((H303-H302)/H302,0)</f>
        <v>0.258823529411765</v>
      </c>
      <c r="I304" s="14" t="n">
        <f aca="false">IFERROR((I303-I302)/I302,0)</f>
        <v>-0.184782608695652</v>
      </c>
      <c r="J304" s="14" t="n">
        <f aca="false">IFERROR((J303-J302)/J302,0)</f>
        <v>0.357142857142857</v>
      </c>
      <c r="K304" s="15" t="n">
        <f aca="false">IFERROR((SUM(D303:J303)-SUM(D302:J302))/SUM(D302:J302),0)</f>
        <v>-0.0175182481751825</v>
      </c>
    </row>
    <row r="305" customFormat="false" ht="15" hidden="false" customHeight="true" outlineLevel="0" collapsed="false">
      <c r="A305" s="42" t="s">
        <v>320</v>
      </c>
      <c r="B305" s="43" t="s">
        <v>321</v>
      </c>
      <c r="C305" s="5" t="s">
        <v>26</v>
      </c>
      <c r="D305" s="6" t="n">
        <v>25</v>
      </c>
      <c r="E305" s="6" t="n">
        <v>18</v>
      </c>
      <c r="F305" s="6" t="n">
        <v>10</v>
      </c>
      <c r="G305" s="6" t="n">
        <v>18</v>
      </c>
      <c r="H305" s="6" t="n">
        <v>18</v>
      </c>
      <c r="I305" s="6" t="n">
        <v>34</v>
      </c>
      <c r="J305" s="6" t="n">
        <v>13</v>
      </c>
      <c r="K305" s="7" t="n">
        <f aca="false">SUM(D305:J305)</f>
        <v>136</v>
      </c>
    </row>
    <row r="306" customFormat="false" ht="15" hidden="false" customHeight="false" outlineLevel="0" collapsed="false">
      <c r="A306" s="42"/>
      <c r="B306" s="42"/>
      <c r="C306" s="44" t="s">
        <v>14</v>
      </c>
      <c r="D306" s="9" t="n">
        <v>27.2</v>
      </c>
      <c r="E306" s="9" t="n">
        <v>18.8</v>
      </c>
      <c r="F306" s="9" t="n">
        <v>14.3</v>
      </c>
      <c r="G306" s="9" t="n">
        <v>12.9</v>
      </c>
      <c r="H306" s="9" t="n">
        <v>14.5</v>
      </c>
      <c r="I306" s="9" t="n">
        <v>28.3</v>
      </c>
      <c r="J306" s="9" t="n">
        <v>12.4</v>
      </c>
      <c r="K306" s="10" t="n">
        <f aca="false">SUM(D306:J306)</f>
        <v>128.4</v>
      </c>
    </row>
    <row r="307" customFormat="false" ht="15" hidden="false" customHeight="false" outlineLevel="0" collapsed="false">
      <c r="A307" s="42"/>
      <c r="B307" s="42"/>
      <c r="C307" s="11" t="s">
        <v>41</v>
      </c>
      <c r="D307" s="14" t="n">
        <f aca="false">IFERROR((D306-D305)/D305,0)</f>
        <v>0.088</v>
      </c>
      <c r="E307" s="14" t="n">
        <f aca="false">IFERROR((E306-E305)/E305,0)</f>
        <v>0.0444444444444445</v>
      </c>
      <c r="F307" s="14" t="n">
        <f aca="false">IFERROR((F306-F305)/F305,0)</f>
        <v>0.43</v>
      </c>
      <c r="G307" s="14" t="n">
        <f aca="false">IFERROR((G306-G305)/G305,0)</f>
        <v>-0.283333333333333</v>
      </c>
      <c r="H307" s="14" t="n">
        <f aca="false">IFERROR((H306-H305)/H305,0)</f>
        <v>-0.194444444444444</v>
      </c>
      <c r="I307" s="14" t="n">
        <f aca="false">IFERROR((I306-I305)/I305,0)</f>
        <v>-0.167647058823529</v>
      </c>
      <c r="J307" s="14" t="n">
        <f aca="false">IFERROR((J306-J305)/J305,0)</f>
        <v>-0.0461538461538461</v>
      </c>
      <c r="K307" s="15" t="n">
        <f aca="false">IFERROR((SUM(D306:J306)-SUM(D305:J305))/SUM(D305:J305),0)</f>
        <v>-0.0558823529411764</v>
      </c>
    </row>
    <row r="308" customFormat="false" ht="15" hidden="false" customHeight="true" outlineLevel="0" collapsed="false">
      <c r="A308" s="42" t="s">
        <v>322</v>
      </c>
      <c r="B308" s="43" t="s">
        <v>323</v>
      </c>
      <c r="C308" s="5" t="s">
        <v>26</v>
      </c>
      <c r="D308" s="6" t="n">
        <v>19</v>
      </c>
      <c r="E308" s="6" t="n">
        <v>29</v>
      </c>
      <c r="F308" s="6" t="n">
        <v>13</v>
      </c>
      <c r="G308" s="6" t="n">
        <v>9</v>
      </c>
      <c r="H308" s="6" t="n">
        <v>21</v>
      </c>
      <c r="I308" s="6" t="n">
        <v>32</v>
      </c>
      <c r="J308" s="6" t="n">
        <v>13</v>
      </c>
      <c r="K308" s="7" t="n">
        <f aca="false">SUM(D308:J308)</f>
        <v>136</v>
      </c>
    </row>
    <row r="309" customFormat="false" ht="15" hidden="false" customHeight="false" outlineLevel="0" collapsed="false">
      <c r="A309" s="42"/>
      <c r="B309" s="42"/>
      <c r="C309" s="44" t="s">
        <v>14</v>
      </c>
      <c r="D309" s="9" t="n">
        <v>17.6</v>
      </c>
      <c r="E309" s="9" t="n">
        <v>19</v>
      </c>
      <c r="F309" s="9" t="n">
        <v>18.2</v>
      </c>
      <c r="G309" s="9" t="n">
        <v>20.3</v>
      </c>
      <c r="H309" s="9" t="n">
        <v>16.5</v>
      </c>
      <c r="I309" s="9" t="n">
        <v>24.5</v>
      </c>
      <c r="J309" s="9" t="n">
        <v>12</v>
      </c>
      <c r="K309" s="10" t="n">
        <f aca="false">SUM(D309:J309)</f>
        <v>128.1</v>
      </c>
    </row>
    <row r="310" customFormat="false" ht="15" hidden="false" customHeight="false" outlineLevel="0" collapsed="false">
      <c r="A310" s="42"/>
      <c r="B310" s="42"/>
      <c r="C310" s="11" t="s">
        <v>41</v>
      </c>
      <c r="D310" s="14" t="n">
        <f aca="false">IFERROR((D309-D308)/D308,0)</f>
        <v>-0.0736842105263157</v>
      </c>
      <c r="E310" s="14" t="n">
        <f aca="false">IFERROR((E309-E308)/E308,0)</f>
        <v>-0.344827586206897</v>
      </c>
      <c r="F310" s="14" t="n">
        <f aca="false">IFERROR((F309-F308)/F308,0)</f>
        <v>0.4</v>
      </c>
      <c r="G310" s="14" t="n">
        <f aca="false">IFERROR((G309-G308)/G308,0)</f>
        <v>1.25555555555556</v>
      </c>
      <c r="H310" s="14" t="n">
        <f aca="false">IFERROR((H309-H308)/H308,0)</f>
        <v>-0.214285714285714</v>
      </c>
      <c r="I310" s="14" t="n">
        <f aca="false">IFERROR((I309-I308)/I308,0)</f>
        <v>-0.234375</v>
      </c>
      <c r="J310" s="14" t="n">
        <f aca="false">IFERROR((J309-J308)/J308,0)</f>
        <v>-0.0769230769230769</v>
      </c>
      <c r="K310" s="15" t="n">
        <f aca="false">IFERROR((SUM(D309:J309)-SUM(D308:J308))/SUM(D308:J308),0)</f>
        <v>-0.0580882352941177</v>
      </c>
    </row>
    <row r="311" customFormat="false" ht="15" hidden="false" customHeight="true" outlineLevel="0" collapsed="false">
      <c r="A311" s="42" t="s">
        <v>324</v>
      </c>
      <c r="B311" s="43" t="s">
        <v>282</v>
      </c>
      <c r="C311" s="5" t="s">
        <v>26</v>
      </c>
      <c r="D311" s="6" t="n">
        <v>12</v>
      </c>
      <c r="E311" s="6" t="n">
        <v>8</v>
      </c>
      <c r="F311" s="6" t="n">
        <v>14</v>
      </c>
      <c r="G311" s="6" t="n">
        <v>26</v>
      </c>
      <c r="H311" s="6" t="n">
        <v>21</v>
      </c>
      <c r="I311" s="6" t="n">
        <v>39</v>
      </c>
      <c r="J311" s="6" t="n">
        <v>14</v>
      </c>
      <c r="K311" s="7" t="n">
        <f aca="false">SUM(D311:J311)</f>
        <v>134</v>
      </c>
    </row>
    <row r="312" customFormat="false" ht="15" hidden="false" customHeight="false" outlineLevel="0" collapsed="false">
      <c r="A312" s="42"/>
      <c r="B312" s="42"/>
      <c r="C312" s="44" t="s">
        <v>14</v>
      </c>
      <c r="D312" s="9" t="n">
        <v>6.6</v>
      </c>
      <c r="E312" s="9" t="n">
        <v>14.8</v>
      </c>
      <c r="F312" s="9" t="n">
        <v>12.3</v>
      </c>
      <c r="G312" s="9" t="n">
        <v>12.8</v>
      </c>
      <c r="H312" s="9" t="n">
        <v>12.5</v>
      </c>
      <c r="I312" s="9" t="n">
        <v>28.6</v>
      </c>
      <c r="J312" s="9" t="n">
        <v>12.3</v>
      </c>
      <c r="K312" s="10" t="n">
        <f aca="false">SUM(D312:J312)</f>
        <v>99.9</v>
      </c>
    </row>
    <row r="313" customFormat="false" ht="15" hidden="false" customHeight="false" outlineLevel="0" collapsed="false">
      <c r="A313" s="42"/>
      <c r="B313" s="42"/>
      <c r="C313" s="11" t="s">
        <v>41</v>
      </c>
      <c r="D313" s="14" t="n">
        <f aca="false">IFERROR((D312-D311)/D311,0)</f>
        <v>-0.45</v>
      </c>
      <c r="E313" s="14" t="n">
        <f aca="false">IFERROR((E312-E311)/E311,0)</f>
        <v>0.85</v>
      </c>
      <c r="F313" s="14" t="n">
        <f aca="false">IFERROR((F312-F311)/F311,0)</f>
        <v>-0.121428571428571</v>
      </c>
      <c r="G313" s="14" t="n">
        <f aca="false">IFERROR((G312-G311)/G311,0)</f>
        <v>-0.507692307692308</v>
      </c>
      <c r="H313" s="14" t="n">
        <f aca="false">IFERROR((H312-H311)/H311,0)</f>
        <v>-0.404761904761905</v>
      </c>
      <c r="I313" s="14" t="n">
        <f aca="false">IFERROR((I312-I311)/I311,0)</f>
        <v>-0.266666666666667</v>
      </c>
      <c r="J313" s="14" t="n">
        <f aca="false">IFERROR((J312-J311)/J311,0)</f>
        <v>-0.121428571428571</v>
      </c>
      <c r="K313" s="15" t="n">
        <f aca="false">IFERROR((SUM(D312:J312)-SUM(D311:J311))/SUM(D311:J311),0)</f>
        <v>-0.254477611940298</v>
      </c>
    </row>
    <row r="314" customFormat="false" ht="15" hidden="false" customHeight="true" outlineLevel="0" collapsed="false">
      <c r="A314" s="42" t="s">
        <v>325</v>
      </c>
      <c r="B314" s="43" t="s">
        <v>326</v>
      </c>
      <c r="C314" s="5" t="s">
        <v>26</v>
      </c>
      <c r="D314" s="6" t="n">
        <v>24</v>
      </c>
      <c r="E314" s="6" t="n">
        <v>29</v>
      </c>
      <c r="F314" s="6" t="n">
        <v>25</v>
      </c>
      <c r="G314" s="6" t="n">
        <v>17</v>
      </c>
      <c r="H314" s="6" t="n">
        <v>18</v>
      </c>
      <c r="I314" s="6" t="n">
        <v>13</v>
      </c>
      <c r="J314" s="6" t="n">
        <v>6</v>
      </c>
      <c r="K314" s="7" t="n">
        <f aca="false">SUM(D314:J314)</f>
        <v>132</v>
      </c>
    </row>
    <row r="315" customFormat="false" ht="15" hidden="false" customHeight="false" outlineLevel="0" collapsed="false">
      <c r="A315" s="42"/>
      <c r="B315" s="42"/>
      <c r="C315" s="44" t="s">
        <v>14</v>
      </c>
      <c r="D315" s="9" t="n">
        <v>24.5</v>
      </c>
      <c r="E315" s="9" t="n">
        <v>20.6</v>
      </c>
      <c r="F315" s="9" t="n">
        <v>21.2</v>
      </c>
      <c r="G315" s="9" t="n">
        <v>17.9</v>
      </c>
      <c r="H315" s="9" t="n">
        <v>17.7</v>
      </c>
      <c r="I315" s="9" t="n">
        <v>19.3</v>
      </c>
      <c r="J315" s="9" t="n">
        <v>11.5</v>
      </c>
      <c r="K315" s="10" t="n">
        <f aca="false">SUM(D315:J315)</f>
        <v>132.7</v>
      </c>
    </row>
    <row r="316" customFormat="false" ht="15" hidden="false" customHeight="false" outlineLevel="0" collapsed="false">
      <c r="A316" s="42"/>
      <c r="B316" s="42"/>
      <c r="C316" s="11" t="s">
        <v>41</v>
      </c>
      <c r="D316" s="14" t="n">
        <f aca="false">IFERROR((D315-D314)/D314,0)</f>
        <v>0.0208333333333333</v>
      </c>
      <c r="E316" s="14" t="n">
        <f aca="false">IFERROR((E315-E314)/E314,0)</f>
        <v>-0.289655172413793</v>
      </c>
      <c r="F316" s="14" t="n">
        <f aca="false">IFERROR((F315-F314)/F314,0)</f>
        <v>-0.152</v>
      </c>
      <c r="G316" s="14" t="n">
        <f aca="false">IFERROR((G315-G314)/G314,0)</f>
        <v>0.0529411764705882</v>
      </c>
      <c r="H316" s="14" t="n">
        <f aca="false">IFERROR((H315-H314)/H314,0)</f>
        <v>-0.0166666666666667</v>
      </c>
      <c r="I316" s="14" t="n">
        <f aca="false">IFERROR((I315-I314)/I314,0)</f>
        <v>0.484615384615385</v>
      </c>
      <c r="J316" s="14" t="n">
        <f aca="false">IFERROR((J315-J314)/J314,0)</f>
        <v>0.916666666666667</v>
      </c>
      <c r="K316" s="15" t="n">
        <f aca="false">IFERROR((SUM(D315:J315)-SUM(D314:J314))/SUM(D314:J314),0)</f>
        <v>0.00530303030303022</v>
      </c>
    </row>
    <row r="317" customFormat="false" ht="15" hidden="false" customHeight="true" outlineLevel="0" collapsed="false">
      <c r="A317" s="42" t="s">
        <v>327</v>
      </c>
      <c r="B317" s="43" t="s">
        <v>328</v>
      </c>
      <c r="C317" s="5" t="s">
        <v>26</v>
      </c>
      <c r="D317" s="6" t="n">
        <v>6</v>
      </c>
      <c r="E317" s="6" t="n">
        <v>19</v>
      </c>
      <c r="F317" s="6" t="n">
        <v>11</v>
      </c>
      <c r="G317" s="6" t="n">
        <v>21</v>
      </c>
      <c r="H317" s="6" t="n">
        <v>22</v>
      </c>
      <c r="I317" s="6" t="n">
        <v>38</v>
      </c>
      <c r="J317" s="6" t="n">
        <v>14</v>
      </c>
      <c r="K317" s="7" t="n">
        <f aca="false">SUM(D317:J317)</f>
        <v>131</v>
      </c>
    </row>
    <row r="318" customFormat="false" ht="15" hidden="false" customHeight="false" outlineLevel="0" collapsed="false">
      <c r="A318" s="42"/>
      <c r="B318" s="42"/>
      <c r="C318" s="44" t="s">
        <v>14</v>
      </c>
      <c r="D318" s="9" t="n">
        <v>17.8</v>
      </c>
      <c r="E318" s="9" t="n">
        <v>17.4</v>
      </c>
      <c r="F318" s="9" t="n">
        <v>15.5</v>
      </c>
      <c r="G318" s="9" t="n">
        <v>14.2</v>
      </c>
      <c r="H318" s="9" t="n">
        <v>17.9</v>
      </c>
      <c r="I318" s="9" t="n">
        <v>33.4</v>
      </c>
      <c r="J318" s="9" t="n">
        <v>13.5</v>
      </c>
      <c r="K318" s="10" t="n">
        <f aca="false">SUM(D318:J318)</f>
        <v>129.7</v>
      </c>
    </row>
    <row r="319" customFormat="false" ht="15" hidden="false" customHeight="false" outlineLevel="0" collapsed="false">
      <c r="A319" s="42"/>
      <c r="B319" s="42"/>
      <c r="C319" s="11" t="s">
        <v>41</v>
      </c>
      <c r="D319" s="14" t="n">
        <f aca="false">IFERROR((D318-D317)/D317,0)</f>
        <v>1.96666666666667</v>
      </c>
      <c r="E319" s="14" t="n">
        <f aca="false">IFERROR((E318-E317)/E317,0)</f>
        <v>-0.0842105263157896</v>
      </c>
      <c r="F319" s="14" t="n">
        <f aca="false">IFERROR((F318-F317)/F317,0)</f>
        <v>0.409090909090909</v>
      </c>
      <c r="G319" s="14" t="n">
        <f aca="false">IFERROR((G318-G317)/G317,0)</f>
        <v>-0.323809523809524</v>
      </c>
      <c r="H319" s="14" t="n">
        <f aca="false">IFERROR((H318-H317)/H317,0)</f>
        <v>-0.186363636363636</v>
      </c>
      <c r="I319" s="14" t="n">
        <f aca="false">IFERROR((I318-I317)/I317,0)</f>
        <v>-0.121052631578947</v>
      </c>
      <c r="J319" s="14" t="n">
        <f aca="false">IFERROR((J318-J317)/J317,0)</f>
        <v>-0.0357142857142857</v>
      </c>
      <c r="K319" s="15" t="n">
        <f aca="false">IFERROR((SUM(D318:J318)-SUM(D317:J317))/SUM(D317:J317),0)</f>
        <v>-0.00992366412213749</v>
      </c>
    </row>
    <row r="320" customFormat="false" ht="15" hidden="false" customHeight="true" outlineLevel="0" collapsed="false">
      <c r="A320" s="42" t="s">
        <v>329</v>
      </c>
      <c r="B320" s="43" t="s">
        <v>330</v>
      </c>
      <c r="C320" s="5" t="s">
        <v>26</v>
      </c>
      <c r="D320" s="6" t="n">
        <v>17</v>
      </c>
      <c r="E320" s="6" t="n">
        <v>9</v>
      </c>
      <c r="F320" s="6" t="n">
        <v>17</v>
      </c>
      <c r="G320" s="6" t="n">
        <v>48</v>
      </c>
      <c r="H320" s="6" t="n">
        <v>13</v>
      </c>
      <c r="I320" s="6" t="n">
        <v>17</v>
      </c>
      <c r="J320" s="6" t="n">
        <v>8</v>
      </c>
      <c r="K320" s="7" t="n">
        <f aca="false">SUM(D320:J320)</f>
        <v>129</v>
      </c>
    </row>
    <row r="321" customFormat="false" ht="15" hidden="false" customHeight="false" outlineLevel="0" collapsed="false">
      <c r="A321" s="42"/>
      <c r="B321" s="42"/>
      <c r="C321" s="44" t="s">
        <v>14</v>
      </c>
      <c r="D321" s="9" t="n">
        <v>16.9</v>
      </c>
      <c r="E321" s="9" t="n">
        <v>16.8</v>
      </c>
      <c r="F321" s="9" t="n">
        <v>12.4</v>
      </c>
      <c r="G321" s="9" t="n">
        <v>17.4</v>
      </c>
      <c r="H321" s="9" t="n">
        <v>22.3</v>
      </c>
      <c r="I321" s="9" t="n">
        <v>31.4</v>
      </c>
      <c r="J321" s="9" t="n">
        <v>12.8</v>
      </c>
      <c r="K321" s="10" t="n">
        <f aca="false">SUM(D321:J321)</f>
        <v>130</v>
      </c>
    </row>
    <row r="322" customFormat="false" ht="15" hidden="false" customHeight="false" outlineLevel="0" collapsed="false">
      <c r="A322" s="42"/>
      <c r="B322" s="42"/>
      <c r="C322" s="11" t="s">
        <v>41</v>
      </c>
      <c r="D322" s="14" t="n">
        <f aca="false">IFERROR((D321-D320)/D320,0)</f>
        <v>-0.00588235294117655</v>
      </c>
      <c r="E322" s="14" t="n">
        <f aca="false">IFERROR((E321-E320)/E320,0)</f>
        <v>0.866666666666667</v>
      </c>
      <c r="F322" s="14" t="n">
        <f aca="false">IFERROR((F321-F320)/F320,0)</f>
        <v>-0.270588235294118</v>
      </c>
      <c r="G322" s="14" t="n">
        <f aca="false">IFERROR((G321-G320)/G320,0)</f>
        <v>-0.6375</v>
      </c>
      <c r="H322" s="14" t="n">
        <f aca="false">IFERROR((H321-H320)/H320,0)</f>
        <v>0.715384615384615</v>
      </c>
      <c r="I322" s="14" t="n">
        <f aca="false">IFERROR((I321-I320)/I320,0)</f>
        <v>0.847058823529412</v>
      </c>
      <c r="J322" s="14" t="n">
        <f aca="false">IFERROR((J321-J320)/J320,0)</f>
        <v>0.6</v>
      </c>
      <c r="K322" s="15" t="n">
        <f aca="false">IFERROR((SUM(D321:J321)-SUM(D320:J320))/SUM(D320:J320),0)</f>
        <v>0.00775193798449612</v>
      </c>
    </row>
    <row r="323" customFormat="false" ht="15" hidden="false" customHeight="true" outlineLevel="0" collapsed="false">
      <c r="A323" s="42" t="s">
        <v>331</v>
      </c>
      <c r="B323" s="43" t="s">
        <v>332</v>
      </c>
      <c r="C323" s="5" t="s">
        <v>26</v>
      </c>
      <c r="D323" s="6" t="n">
        <v>12</v>
      </c>
      <c r="E323" s="6" t="n">
        <v>22</v>
      </c>
      <c r="F323" s="6" t="n">
        <v>10</v>
      </c>
      <c r="G323" s="6" t="n">
        <v>11</v>
      </c>
      <c r="H323" s="6" t="n">
        <v>12</v>
      </c>
      <c r="I323" s="6" t="n">
        <v>37</v>
      </c>
      <c r="J323" s="6" t="n">
        <v>23</v>
      </c>
      <c r="K323" s="7" t="n">
        <f aca="false">SUM(D323:J323)</f>
        <v>127</v>
      </c>
    </row>
    <row r="324" customFormat="false" ht="15" hidden="false" customHeight="false" outlineLevel="0" collapsed="false">
      <c r="A324" s="42"/>
      <c r="B324" s="42"/>
      <c r="C324" s="44" t="s">
        <v>14</v>
      </c>
      <c r="D324" s="9" t="n">
        <v>11.2</v>
      </c>
      <c r="E324" s="9" t="n">
        <v>13.1</v>
      </c>
      <c r="F324" s="9" t="n">
        <v>14.8</v>
      </c>
      <c r="G324" s="9" t="n">
        <v>13.5</v>
      </c>
      <c r="H324" s="9" t="n">
        <v>14.7</v>
      </c>
      <c r="I324" s="9" t="n">
        <v>29</v>
      </c>
      <c r="J324" s="9" t="n">
        <v>14.9</v>
      </c>
      <c r="K324" s="10" t="n">
        <f aca="false">SUM(D324:J324)</f>
        <v>111.2</v>
      </c>
    </row>
    <row r="325" customFormat="false" ht="15" hidden="false" customHeight="false" outlineLevel="0" collapsed="false">
      <c r="A325" s="42"/>
      <c r="B325" s="42"/>
      <c r="C325" s="11" t="s">
        <v>41</v>
      </c>
      <c r="D325" s="14" t="n">
        <f aca="false">IFERROR((D324-D323)/D323,0)</f>
        <v>-0.0666666666666667</v>
      </c>
      <c r="E325" s="14" t="n">
        <f aca="false">IFERROR((E324-E323)/E323,0)</f>
        <v>-0.404545454545455</v>
      </c>
      <c r="F325" s="14" t="n">
        <f aca="false">IFERROR((F324-F323)/F323,0)</f>
        <v>0.48</v>
      </c>
      <c r="G325" s="14" t="n">
        <f aca="false">IFERROR((G324-G323)/G323,0)</f>
        <v>0.227272727272727</v>
      </c>
      <c r="H325" s="14" t="n">
        <f aca="false">IFERROR((H324-H323)/H323,0)</f>
        <v>0.225</v>
      </c>
      <c r="I325" s="14" t="n">
        <f aca="false">IFERROR((I324-I323)/I323,0)</f>
        <v>-0.216216216216216</v>
      </c>
      <c r="J325" s="14" t="n">
        <f aca="false">IFERROR((J324-J323)/J323,0)</f>
        <v>-0.352173913043478</v>
      </c>
      <c r="K325" s="15" t="n">
        <f aca="false">IFERROR((SUM(D324:J324)-SUM(D323:J323))/SUM(D323:J323),0)</f>
        <v>-0.124409448818898</v>
      </c>
    </row>
    <row r="326" customFormat="false" ht="15" hidden="false" customHeight="true" outlineLevel="0" collapsed="false">
      <c r="A326" s="42" t="s">
        <v>333</v>
      </c>
      <c r="B326" s="43" t="s">
        <v>334</v>
      </c>
      <c r="C326" s="5" t="s">
        <v>26</v>
      </c>
      <c r="D326" s="6" t="n">
        <v>13</v>
      </c>
      <c r="E326" s="6" t="n">
        <v>8</v>
      </c>
      <c r="F326" s="6" t="n">
        <v>17</v>
      </c>
      <c r="G326" s="6" t="n">
        <v>14</v>
      </c>
      <c r="H326" s="6" t="n">
        <v>19</v>
      </c>
      <c r="I326" s="6" t="n">
        <v>33</v>
      </c>
      <c r="J326" s="6" t="n">
        <v>22</v>
      </c>
      <c r="K326" s="7" t="n">
        <f aca="false">SUM(D326:J326)</f>
        <v>126</v>
      </c>
    </row>
    <row r="327" customFormat="false" ht="15" hidden="false" customHeight="false" outlineLevel="0" collapsed="false">
      <c r="A327" s="42"/>
      <c r="B327" s="42"/>
      <c r="C327" s="44" t="s">
        <v>14</v>
      </c>
      <c r="D327" s="9" t="n">
        <v>14.2</v>
      </c>
      <c r="E327" s="9" t="n">
        <v>17.2</v>
      </c>
      <c r="F327" s="9" t="n">
        <v>16.3</v>
      </c>
      <c r="G327" s="9" t="n">
        <v>17.1</v>
      </c>
      <c r="H327" s="9" t="n">
        <v>15.8</v>
      </c>
      <c r="I327" s="9" t="n">
        <v>46.3</v>
      </c>
      <c r="J327" s="9" t="n">
        <v>28.8</v>
      </c>
      <c r="K327" s="10" t="n">
        <f aca="false">SUM(D327:J327)</f>
        <v>155.7</v>
      </c>
    </row>
    <row r="328" customFormat="false" ht="15" hidden="false" customHeight="false" outlineLevel="0" collapsed="false">
      <c r="A328" s="42"/>
      <c r="B328" s="42"/>
      <c r="C328" s="11" t="s">
        <v>41</v>
      </c>
      <c r="D328" s="14" t="n">
        <f aca="false">IFERROR((D327-D326)/D326,0)</f>
        <v>0.0923076923076923</v>
      </c>
      <c r="E328" s="14" t="n">
        <f aca="false">IFERROR((E327-E326)/E326,0)</f>
        <v>1.15</v>
      </c>
      <c r="F328" s="14" t="n">
        <f aca="false">IFERROR((F327-F326)/F326,0)</f>
        <v>-0.0411764705882353</v>
      </c>
      <c r="G328" s="14" t="n">
        <f aca="false">IFERROR((G327-G326)/G326,0)</f>
        <v>0.221428571428572</v>
      </c>
      <c r="H328" s="14" t="n">
        <f aca="false">IFERROR((H327-H326)/H326,0)</f>
        <v>-0.168421052631579</v>
      </c>
      <c r="I328" s="14" t="n">
        <f aca="false">IFERROR((I327-I326)/I326,0)</f>
        <v>0.403030303030303</v>
      </c>
      <c r="J328" s="14" t="n">
        <f aca="false">IFERROR((J327-J326)/J326,0)</f>
        <v>0.309090909090909</v>
      </c>
      <c r="K328" s="15" t="n">
        <f aca="false">IFERROR((SUM(D327:J327)-SUM(D326:J326))/SUM(D326:J326),0)</f>
        <v>0.235714285714286</v>
      </c>
    </row>
    <row r="329" customFormat="false" ht="15" hidden="false" customHeight="true" outlineLevel="0" collapsed="false">
      <c r="A329" s="42" t="s">
        <v>335</v>
      </c>
      <c r="B329" s="43" t="s">
        <v>336</v>
      </c>
      <c r="C329" s="5" t="s">
        <v>26</v>
      </c>
      <c r="D329" s="6" t="n">
        <v>10</v>
      </c>
      <c r="E329" s="6" t="n">
        <v>19</v>
      </c>
      <c r="F329" s="6" t="n">
        <v>17</v>
      </c>
      <c r="G329" s="6" t="n">
        <v>17</v>
      </c>
      <c r="H329" s="6" t="n">
        <v>17</v>
      </c>
      <c r="I329" s="6" t="n">
        <v>32</v>
      </c>
      <c r="J329" s="6" t="n">
        <v>11</v>
      </c>
      <c r="K329" s="7" t="n">
        <f aca="false">SUM(D329:J329)</f>
        <v>123</v>
      </c>
    </row>
    <row r="330" customFormat="false" ht="15" hidden="false" customHeight="false" outlineLevel="0" collapsed="false">
      <c r="A330" s="42"/>
      <c r="B330" s="42"/>
      <c r="C330" s="44" t="s">
        <v>14</v>
      </c>
      <c r="D330" s="9" t="n">
        <v>13.7</v>
      </c>
      <c r="E330" s="9" t="n">
        <v>18.8</v>
      </c>
      <c r="F330" s="9" t="n">
        <v>18</v>
      </c>
      <c r="G330" s="9" t="n">
        <v>18.8</v>
      </c>
      <c r="H330" s="9" t="n">
        <v>14.2</v>
      </c>
      <c r="I330" s="9" t="n">
        <v>22.9</v>
      </c>
      <c r="J330" s="9" t="n">
        <v>9.4</v>
      </c>
      <c r="K330" s="10" t="n">
        <f aca="false">SUM(D330:J330)</f>
        <v>115.8</v>
      </c>
    </row>
    <row r="331" customFormat="false" ht="15" hidden="false" customHeight="false" outlineLevel="0" collapsed="false">
      <c r="A331" s="42"/>
      <c r="B331" s="42"/>
      <c r="C331" s="11" t="s">
        <v>41</v>
      </c>
      <c r="D331" s="14" t="n">
        <f aca="false">IFERROR((D330-D329)/D329,0)</f>
        <v>0.37</v>
      </c>
      <c r="E331" s="14" t="n">
        <f aca="false">IFERROR((E330-E329)/E329,0)</f>
        <v>-0.0105263157894736</v>
      </c>
      <c r="F331" s="14" t="n">
        <f aca="false">IFERROR((F330-F329)/F329,0)</f>
        <v>0.0588235294117647</v>
      </c>
      <c r="G331" s="14" t="n">
        <f aca="false">IFERROR((G330-G329)/G329,0)</f>
        <v>0.105882352941177</v>
      </c>
      <c r="H331" s="14" t="n">
        <f aca="false">IFERROR((H330-H329)/H329,0)</f>
        <v>-0.164705882352941</v>
      </c>
      <c r="I331" s="14" t="n">
        <f aca="false">IFERROR((I330-I329)/I329,0)</f>
        <v>-0.284375</v>
      </c>
      <c r="J331" s="14" t="n">
        <f aca="false">IFERROR((J330-J329)/J329,0)</f>
        <v>-0.145454545454545</v>
      </c>
      <c r="K331" s="15" t="n">
        <f aca="false">IFERROR((SUM(D330:J330)-SUM(D329:J329))/SUM(D329:J329),0)</f>
        <v>-0.0585365853658536</v>
      </c>
    </row>
    <row r="332" customFormat="false" ht="15" hidden="false" customHeight="true" outlineLevel="0" collapsed="false">
      <c r="A332" s="42" t="s">
        <v>337</v>
      </c>
      <c r="B332" s="43" t="s">
        <v>338</v>
      </c>
      <c r="C332" s="5" t="s">
        <v>26</v>
      </c>
      <c r="D332" s="6" t="n">
        <v>2</v>
      </c>
      <c r="E332" s="6" t="n">
        <v>10</v>
      </c>
      <c r="F332" s="6" t="n">
        <v>4</v>
      </c>
      <c r="G332" s="6" t="n">
        <v>25</v>
      </c>
      <c r="H332" s="6" t="n">
        <v>27</v>
      </c>
      <c r="I332" s="6" t="n">
        <v>42</v>
      </c>
      <c r="J332" s="6" t="n">
        <v>12</v>
      </c>
      <c r="K332" s="7" t="n">
        <f aca="false">SUM(D332:J332)</f>
        <v>122</v>
      </c>
    </row>
    <row r="333" customFormat="false" ht="15" hidden="false" customHeight="false" outlineLevel="0" collapsed="false">
      <c r="A333" s="42"/>
      <c r="B333" s="42"/>
      <c r="C333" s="44" t="s">
        <v>14</v>
      </c>
      <c r="D333" s="9" t="n">
        <v>6.2</v>
      </c>
      <c r="E333" s="9" t="n">
        <v>11.2</v>
      </c>
      <c r="F333" s="9" t="n">
        <v>6</v>
      </c>
      <c r="G333" s="9" t="n">
        <v>10.5</v>
      </c>
      <c r="H333" s="9" t="n">
        <v>18.8</v>
      </c>
      <c r="I333" s="9" t="n">
        <v>33.1</v>
      </c>
      <c r="J333" s="9" t="n">
        <v>14.3</v>
      </c>
      <c r="K333" s="10" t="n">
        <f aca="false">SUM(D333:J333)</f>
        <v>100.1</v>
      </c>
    </row>
    <row r="334" customFormat="false" ht="15" hidden="false" customHeight="false" outlineLevel="0" collapsed="false">
      <c r="A334" s="42"/>
      <c r="B334" s="42"/>
      <c r="C334" s="11" t="s">
        <v>41</v>
      </c>
      <c r="D334" s="14" t="n">
        <f aca="false">IFERROR((D333-D332)/D332,0)</f>
        <v>2.1</v>
      </c>
      <c r="E334" s="14" t="n">
        <f aca="false">IFERROR((E333-E332)/E332,0)</f>
        <v>0.12</v>
      </c>
      <c r="F334" s="14" t="n">
        <f aca="false">IFERROR((F333-F332)/F332,0)</f>
        <v>0.5</v>
      </c>
      <c r="G334" s="14" t="n">
        <f aca="false">IFERROR((G333-G332)/G332,0)</f>
        <v>-0.58</v>
      </c>
      <c r="H334" s="14" t="n">
        <f aca="false">IFERROR((H333-H332)/H332,0)</f>
        <v>-0.303703703703704</v>
      </c>
      <c r="I334" s="14" t="n">
        <f aca="false">IFERROR((I333-I332)/I332,0)</f>
        <v>-0.211904761904762</v>
      </c>
      <c r="J334" s="14" t="n">
        <f aca="false">IFERROR((J333-J332)/J332,0)</f>
        <v>0.191666666666667</v>
      </c>
      <c r="K334" s="15" t="n">
        <f aca="false">IFERROR((SUM(D333:J333)-SUM(D332:J332))/SUM(D332:J332),0)</f>
        <v>-0.179508196721312</v>
      </c>
    </row>
    <row r="335" customFormat="false" ht="15" hidden="false" customHeight="true" outlineLevel="0" collapsed="false">
      <c r="A335" s="42" t="s">
        <v>339</v>
      </c>
      <c r="B335" s="43" t="s">
        <v>340</v>
      </c>
      <c r="C335" s="5" t="s">
        <v>26</v>
      </c>
      <c r="D335" s="6" t="n">
        <v>6</v>
      </c>
      <c r="E335" s="6" t="n">
        <v>8</v>
      </c>
      <c r="F335" s="6" t="n">
        <v>16</v>
      </c>
      <c r="G335" s="6" t="n">
        <v>10</v>
      </c>
      <c r="H335" s="6" t="n">
        <v>20</v>
      </c>
      <c r="I335" s="6" t="n">
        <v>44</v>
      </c>
      <c r="J335" s="6" t="n">
        <v>15</v>
      </c>
      <c r="K335" s="7" t="n">
        <f aca="false">SUM(D335:J335)</f>
        <v>119</v>
      </c>
    </row>
    <row r="336" customFormat="false" ht="15" hidden="false" customHeight="false" outlineLevel="0" collapsed="false">
      <c r="A336" s="42"/>
      <c r="B336" s="42"/>
      <c r="C336" s="44" t="s">
        <v>14</v>
      </c>
      <c r="D336" s="9" t="n">
        <v>10.2</v>
      </c>
      <c r="E336" s="9" t="n">
        <v>14.2</v>
      </c>
      <c r="F336" s="9" t="n">
        <v>13.6</v>
      </c>
      <c r="G336" s="9" t="n">
        <v>15.6</v>
      </c>
      <c r="H336" s="9" t="n">
        <v>17.2</v>
      </c>
      <c r="I336" s="9" t="n">
        <v>49.5</v>
      </c>
      <c r="J336" s="9" t="n">
        <v>16.2</v>
      </c>
      <c r="K336" s="10" t="n">
        <f aca="false">SUM(D336:J336)</f>
        <v>136.5</v>
      </c>
    </row>
    <row r="337" customFormat="false" ht="15" hidden="false" customHeight="false" outlineLevel="0" collapsed="false">
      <c r="A337" s="42"/>
      <c r="B337" s="42"/>
      <c r="C337" s="11" t="s">
        <v>41</v>
      </c>
      <c r="D337" s="14" t="n">
        <f aca="false">IFERROR((D336-D335)/D335,0)</f>
        <v>0.7</v>
      </c>
      <c r="E337" s="14" t="n">
        <f aca="false">IFERROR((E336-E335)/E335,0)</f>
        <v>0.775</v>
      </c>
      <c r="F337" s="14" t="n">
        <f aca="false">IFERROR((F336-F335)/F335,0)</f>
        <v>-0.15</v>
      </c>
      <c r="G337" s="14" t="n">
        <f aca="false">IFERROR((G336-G335)/G335,0)</f>
        <v>0.56</v>
      </c>
      <c r="H337" s="14" t="n">
        <f aca="false">IFERROR((H336-H335)/H335,0)</f>
        <v>-0.14</v>
      </c>
      <c r="I337" s="14" t="n">
        <f aca="false">IFERROR((I336-I335)/I335,0)</f>
        <v>0.125</v>
      </c>
      <c r="J337" s="14" t="n">
        <f aca="false">IFERROR((J336-J335)/J335,0)</f>
        <v>0.08</v>
      </c>
      <c r="K337" s="15" t="n">
        <f aca="false">IFERROR((SUM(D336:J336)-SUM(D335:J335))/SUM(D335:J335),0)</f>
        <v>0.147058823529412</v>
      </c>
    </row>
    <row r="338" customFormat="false" ht="15" hidden="false" customHeight="true" outlineLevel="0" collapsed="false">
      <c r="A338" s="42" t="s">
        <v>341</v>
      </c>
      <c r="B338" s="43" t="s">
        <v>342</v>
      </c>
      <c r="C338" s="5" t="s">
        <v>26</v>
      </c>
      <c r="D338" s="6" t="n">
        <v>13</v>
      </c>
      <c r="E338" s="6" t="n">
        <v>14</v>
      </c>
      <c r="F338" s="6" t="n">
        <v>11</v>
      </c>
      <c r="G338" s="6" t="n">
        <v>21</v>
      </c>
      <c r="H338" s="6" t="n">
        <v>21</v>
      </c>
      <c r="I338" s="6" t="n">
        <v>32</v>
      </c>
      <c r="J338" s="6" t="n">
        <v>7</v>
      </c>
      <c r="K338" s="7" t="n">
        <f aca="false">SUM(D338:J338)</f>
        <v>119</v>
      </c>
    </row>
    <row r="339" customFormat="false" ht="15" hidden="false" customHeight="false" outlineLevel="0" collapsed="false">
      <c r="A339" s="42"/>
      <c r="B339" s="42"/>
      <c r="C339" s="44" t="s">
        <v>14</v>
      </c>
      <c r="D339" s="9" t="n">
        <v>10.1</v>
      </c>
      <c r="E339" s="9" t="n">
        <v>9.6</v>
      </c>
      <c r="F339" s="9" t="n">
        <v>9.3</v>
      </c>
      <c r="G339" s="9" t="n">
        <v>13.9</v>
      </c>
      <c r="H339" s="9" t="n">
        <v>17.2</v>
      </c>
      <c r="I339" s="9" t="n">
        <v>29.2</v>
      </c>
      <c r="J339" s="9" t="n">
        <v>11.3</v>
      </c>
      <c r="K339" s="10" t="n">
        <f aca="false">SUM(D339:J339)</f>
        <v>100.6</v>
      </c>
    </row>
    <row r="340" customFormat="false" ht="15" hidden="false" customHeight="false" outlineLevel="0" collapsed="false">
      <c r="A340" s="42"/>
      <c r="B340" s="42"/>
      <c r="C340" s="11" t="s">
        <v>41</v>
      </c>
      <c r="D340" s="14" t="n">
        <f aca="false">IFERROR((D339-D338)/D338,0)</f>
        <v>-0.223076923076923</v>
      </c>
      <c r="E340" s="14" t="n">
        <f aca="false">IFERROR((E339-E338)/E338,0)</f>
        <v>-0.314285714285714</v>
      </c>
      <c r="F340" s="14" t="n">
        <f aca="false">IFERROR((F339-F338)/F338,0)</f>
        <v>-0.154545454545454</v>
      </c>
      <c r="G340" s="14" t="n">
        <f aca="false">IFERROR((G339-G338)/G338,0)</f>
        <v>-0.338095238095238</v>
      </c>
      <c r="H340" s="14" t="n">
        <f aca="false">IFERROR((H339-H338)/H338,0)</f>
        <v>-0.180952380952381</v>
      </c>
      <c r="I340" s="14" t="n">
        <f aca="false">IFERROR((I339-I338)/I338,0)</f>
        <v>-0.0875</v>
      </c>
      <c r="J340" s="14" t="n">
        <f aca="false">IFERROR((J339-J338)/J338,0)</f>
        <v>0.614285714285714</v>
      </c>
      <c r="K340" s="15" t="n">
        <f aca="false">IFERROR((SUM(D339:J339)-SUM(D338:J338))/SUM(D338:J338),0)</f>
        <v>-0.154621848739496</v>
      </c>
    </row>
    <row r="341" customFormat="false" ht="15" hidden="false" customHeight="true" outlineLevel="0" collapsed="false">
      <c r="A341" s="42" t="s">
        <v>343</v>
      </c>
      <c r="B341" s="43" t="s">
        <v>344</v>
      </c>
      <c r="C341" s="5" t="s">
        <v>26</v>
      </c>
      <c r="D341" s="6" t="n">
        <v>15</v>
      </c>
      <c r="E341" s="6" t="n">
        <v>18</v>
      </c>
      <c r="F341" s="6" t="n">
        <v>26</v>
      </c>
      <c r="G341" s="6" t="n">
        <v>17</v>
      </c>
      <c r="H341" s="6" t="n">
        <v>12</v>
      </c>
      <c r="I341" s="6" t="n">
        <v>20</v>
      </c>
      <c r="J341" s="6" t="n">
        <v>9</v>
      </c>
      <c r="K341" s="7" t="n">
        <f aca="false">SUM(D341:J341)</f>
        <v>117</v>
      </c>
    </row>
    <row r="342" customFormat="false" ht="15" hidden="false" customHeight="false" outlineLevel="0" collapsed="false">
      <c r="A342" s="42"/>
      <c r="B342" s="42"/>
      <c r="C342" s="44" t="s">
        <v>14</v>
      </c>
      <c r="D342" s="9" t="n">
        <v>13.4</v>
      </c>
      <c r="E342" s="9" t="n">
        <v>15.2</v>
      </c>
      <c r="F342" s="9" t="n">
        <v>14.6</v>
      </c>
      <c r="G342" s="9" t="n">
        <v>11.5</v>
      </c>
      <c r="H342" s="9" t="n">
        <v>16.4</v>
      </c>
      <c r="I342" s="9" t="n">
        <v>23.4</v>
      </c>
      <c r="J342" s="9" t="n">
        <v>8</v>
      </c>
      <c r="K342" s="10" t="n">
        <f aca="false">SUM(D342:J342)</f>
        <v>102.5</v>
      </c>
    </row>
    <row r="343" customFormat="false" ht="15" hidden="false" customHeight="false" outlineLevel="0" collapsed="false">
      <c r="A343" s="42"/>
      <c r="B343" s="42"/>
      <c r="C343" s="11" t="s">
        <v>41</v>
      </c>
      <c r="D343" s="14" t="n">
        <f aca="false">IFERROR((D342-D341)/D341,0)</f>
        <v>-0.106666666666667</v>
      </c>
      <c r="E343" s="14" t="n">
        <f aca="false">IFERROR((E342-E341)/E341,0)</f>
        <v>-0.155555555555556</v>
      </c>
      <c r="F343" s="14" t="n">
        <f aca="false">IFERROR((F342-F341)/F341,0)</f>
        <v>-0.438461538461538</v>
      </c>
      <c r="G343" s="14" t="n">
        <f aca="false">IFERROR((G342-G341)/G341,0)</f>
        <v>-0.323529411764706</v>
      </c>
      <c r="H343" s="14" t="n">
        <f aca="false">IFERROR((H342-H341)/H341,0)</f>
        <v>0.366666666666667</v>
      </c>
      <c r="I343" s="14" t="n">
        <f aca="false">IFERROR((I342-I341)/I341,0)</f>
        <v>0.17</v>
      </c>
      <c r="J343" s="14" t="n">
        <f aca="false">IFERROR((J342-J341)/J341,0)</f>
        <v>-0.111111111111111</v>
      </c>
      <c r="K343" s="15" t="n">
        <f aca="false">IFERROR((SUM(D342:J342)-SUM(D341:J341))/SUM(D341:J341),0)</f>
        <v>-0.123931623931624</v>
      </c>
    </row>
    <row r="344" customFormat="false" ht="15" hidden="false" customHeight="true" outlineLevel="0" collapsed="false">
      <c r="A344" s="42" t="s">
        <v>345</v>
      </c>
      <c r="B344" s="43" t="s">
        <v>180</v>
      </c>
      <c r="C344" s="5" t="s">
        <v>26</v>
      </c>
      <c r="D344" s="6" t="n">
        <v>10</v>
      </c>
      <c r="E344" s="6" t="n">
        <v>11</v>
      </c>
      <c r="F344" s="6" t="n">
        <v>13</v>
      </c>
      <c r="G344" s="6" t="n">
        <v>17</v>
      </c>
      <c r="H344" s="6" t="n">
        <v>19</v>
      </c>
      <c r="I344" s="6" t="n">
        <v>31</v>
      </c>
      <c r="J344" s="6" t="n">
        <v>16</v>
      </c>
      <c r="K344" s="7" t="n">
        <f aca="false">SUM(D344:J344)</f>
        <v>117</v>
      </c>
    </row>
    <row r="345" customFormat="false" ht="15" hidden="false" customHeight="false" outlineLevel="0" collapsed="false">
      <c r="A345" s="42"/>
      <c r="B345" s="42"/>
      <c r="C345" s="44" t="s">
        <v>14</v>
      </c>
      <c r="D345" s="9" t="n">
        <v>10.7</v>
      </c>
      <c r="E345" s="9" t="n">
        <v>19.4</v>
      </c>
      <c r="F345" s="9" t="n">
        <v>15.8</v>
      </c>
      <c r="G345" s="9" t="n">
        <v>18.5</v>
      </c>
      <c r="H345" s="9" t="n">
        <v>14.9</v>
      </c>
      <c r="I345" s="9" t="n">
        <v>25.8</v>
      </c>
      <c r="J345" s="9" t="n">
        <v>22.5</v>
      </c>
      <c r="K345" s="10" t="n">
        <f aca="false">SUM(D345:J345)</f>
        <v>127.6</v>
      </c>
    </row>
    <row r="346" customFormat="false" ht="15" hidden="false" customHeight="false" outlineLevel="0" collapsed="false">
      <c r="A346" s="42"/>
      <c r="B346" s="42"/>
      <c r="C346" s="11" t="s">
        <v>41</v>
      </c>
      <c r="D346" s="14" t="n">
        <f aca="false">IFERROR((D345-D344)/D344,0)</f>
        <v>0.0699999999999999</v>
      </c>
      <c r="E346" s="14" t="n">
        <f aca="false">IFERROR((E345-E344)/E344,0)</f>
        <v>0.763636363636364</v>
      </c>
      <c r="F346" s="14" t="n">
        <f aca="false">IFERROR((F345-F344)/F344,0)</f>
        <v>0.215384615384615</v>
      </c>
      <c r="G346" s="14" t="n">
        <f aca="false">IFERROR((G345-G344)/G344,0)</f>
        <v>0.0882352941176471</v>
      </c>
      <c r="H346" s="14" t="n">
        <f aca="false">IFERROR((H345-H344)/H344,0)</f>
        <v>-0.215789473684211</v>
      </c>
      <c r="I346" s="14" t="n">
        <f aca="false">IFERROR((I345-I344)/I344,0)</f>
        <v>-0.167741935483871</v>
      </c>
      <c r="J346" s="14" t="n">
        <f aca="false">IFERROR((J345-J344)/J344,0)</f>
        <v>0.40625</v>
      </c>
      <c r="K346" s="15" t="n">
        <f aca="false">IFERROR((SUM(D345:J345)-SUM(D344:J344))/SUM(D344:J344),0)</f>
        <v>0.0905982905982906</v>
      </c>
    </row>
    <row r="347" customFormat="false" ht="15" hidden="false" customHeight="true" outlineLevel="0" collapsed="false">
      <c r="A347" s="42" t="s">
        <v>346</v>
      </c>
      <c r="B347" s="43" t="s">
        <v>347</v>
      </c>
      <c r="C347" s="5" t="s">
        <v>26</v>
      </c>
      <c r="D347" s="6" t="n">
        <v>23</v>
      </c>
      <c r="E347" s="6" t="n">
        <v>18</v>
      </c>
      <c r="F347" s="6" t="n">
        <v>7</v>
      </c>
      <c r="G347" s="6" t="n">
        <v>16</v>
      </c>
      <c r="H347" s="6" t="n">
        <v>18</v>
      </c>
      <c r="I347" s="6" t="n">
        <v>25</v>
      </c>
      <c r="J347" s="6" t="n">
        <v>8</v>
      </c>
      <c r="K347" s="7" t="n">
        <f aca="false">SUM(D347:J347)</f>
        <v>115</v>
      </c>
    </row>
    <row r="348" customFormat="false" ht="15" hidden="false" customHeight="false" outlineLevel="0" collapsed="false">
      <c r="A348" s="42"/>
      <c r="B348" s="42"/>
      <c r="C348" s="44" t="s">
        <v>14</v>
      </c>
      <c r="D348" s="9" t="n">
        <v>15.8</v>
      </c>
      <c r="E348" s="9" t="n">
        <v>15.9</v>
      </c>
      <c r="F348" s="9" t="n">
        <v>20.1</v>
      </c>
      <c r="G348" s="9" t="n">
        <v>15.2</v>
      </c>
      <c r="H348" s="9" t="n">
        <v>11.7</v>
      </c>
      <c r="I348" s="9" t="n">
        <v>21.8</v>
      </c>
      <c r="J348" s="9" t="n">
        <v>12.3</v>
      </c>
      <c r="K348" s="10" t="n">
        <f aca="false">SUM(D348:J348)</f>
        <v>112.8</v>
      </c>
    </row>
    <row r="349" customFormat="false" ht="15" hidden="false" customHeight="false" outlineLevel="0" collapsed="false">
      <c r="A349" s="42"/>
      <c r="B349" s="42"/>
      <c r="C349" s="11" t="s">
        <v>41</v>
      </c>
      <c r="D349" s="14" t="n">
        <f aca="false">IFERROR((D348-D347)/D347,0)</f>
        <v>-0.31304347826087</v>
      </c>
      <c r="E349" s="14" t="n">
        <f aca="false">IFERROR((E348-E347)/E347,0)</f>
        <v>-0.116666666666667</v>
      </c>
      <c r="F349" s="14" t="n">
        <f aca="false">IFERROR((F348-F347)/F347,0)</f>
        <v>1.87142857142857</v>
      </c>
      <c r="G349" s="14" t="n">
        <f aca="false">IFERROR((G348-G347)/G347,0)</f>
        <v>-0.05</v>
      </c>
      <c r="H349" s="14" t="n">
        <f aca="false">IFERROR((H348-H347)/H347,0)</f>
        <v>-0.35</v>
      </c>
      <c r="I349" s="14" t="n">
        <f aca="false">IFERROR((I348-I347)/I347,0)</f>
        <v>-0.128</v>
      </c>
      <c r="J349" s="14" t="n">
        <f aca="false">IFERROR((J348-J347)/J347,0)</f>
        <v>0.5375</v>
      </c>
      <c r="K349" s="15" t="n">
        <f aca="false">IFERROR((SUM(D348:J348)-SUM(D347:J347))/SUM(D347:J347),0)</f>
        <v>-0.0191304347826087</v>
      </c>
    </row>
    <row r="350" customFormat="false" ht="15" hidden="false" customHeight="true" outlineLevel="0" collapsed="false">
      <c r="A350" s="42" t="s">
        <v>348</v>
      </c>
      <c r="B350" s="43" t="s">
        <v>349</v>
      </c>
      <c r="C350" s="5" t="s">
        <v>26</v>
      </c>
      <c r="D350" s="6" t="n">
        <v>16</v>
      </c>
      <c r="E350" s="6" t="n">
        <v>16</v>
      </c>
      <c r="F350" s="6" t="n">
        <v>12</v>
      </c>
      <c r="G350" s="6" t="n">
        <v>13</v>
      </c>
      <c r="H350" s="6" t="n">
        <v>11</v>
      </c>
      <c r="I350" s="6" t="n">
        <v>25</v>
      </c>
      <c r="J350" s="6" t="n">
        <v>22</v>
      </c>
      <c r="K350" s="7" t="n">
        <f aca="false">SUM(D350:J350)</f>
        <v>115</v>
      </c>
    </row>
    <row r="351" customFormat="false" ht="15" hidden="false" customHeight="false" outlineLevel="0" collapsed="false">
      <c r="A351" s="42"/>
      <c r="B351" s="42"/>
      <c r="C351" s="44" t="s">
        <v>14</v>
      </c>
      <c r="D351" s="9" t="n">
        <v>10</v>
      </c>
      <c r="E351" s="9" t="n">
        <v>12.5</v>
      </c>
      <c r="F351" s="9" t="n">
        <v>12.8</v>
      </c>
      <c r="G351" s="9" t="n">
        <v>10.7</v>
      </c>
      <c r="H351" s="9" t="n">
        <v>10</v>
      </c>
      <c r="I351" s="9" t="n">
        <v>18.3</v>
      </c>
      <c r="J351" s="9" t="n">
        <v>25.1</v>
      </c>
      <c r="K351" s="10" t="n">
        <f aca="false">SUM(D351:J351)</f>
        <v>99.4</v>
      </c>
    </row>
    <row r="352" customFormat="false" ht="15" hidden="false" customHeight="false" outlineLevel="0" collapsed="false">
      <c r="A352" s="42"/>
      <c r="B352" s="42"/>
      <c r="C352" s="11" t="s">
        <v>41</v>
      </c>
      <c r="D352" s="14" t="n">
        <f aca="false">IFERROR((D351-D350)/D350,0)</f>
        <v>-0.375</v>
      </c>
      <c r="E352" s="14" t="n">
        <f aca="false">IFERROR((E351-E350)/E350,0)</f>
        <v>-0.21875</v>
      </c>
      <c r="F352" s="14" t="n">
        <f aca="false">IFERROR((F351-F350)/F350,0)</f>
        <v>0.0666666666666667</v>
      </c>
      <c r="G352" s="14" t="n">
        <f aca="false">IFERROR((G351-G350)/G350,0)</f>
        <v>-0.176923076923077</v>
      </c>
      <c r="H352" s="14" t="n">
        <f aca="false">IFERROR((H351-H350)/H350,0)</f>
        <v>-0.0909090909090909</v>
      </c>
      <c r="I352" s="14" t="n">
        <f aca="false">IFERROR((I351-I350)/I350,0)</f>
        <v>-0.268</v>
      </c>
      <c r="J352" s="14" t="n">
        <f aca="false">IFERROR((J351-J350)/J350,0)</f>
        <v>0.140909090909091</v>
      </c>
      <c r="K352" s="15" t="n">
        <f aca="false">IFERROR((SUM(D351:J351)-SUM(D350:J350))/SUM(D350:J350),0)</f>
        <v>-0.135652173913043</v>
      </c>
    </row>
    <row r="353" customFormat="false" ht="15" hidden="false" customHeight="true" outlineLevel="0" collapsed="false">
      <c r="A353" s="42" t="s">
        <v>350</v>
      </c>
      <c r="B353" s="43" t="s">
        <v>351</v>
      </c>
      <c r="C353" s="5" t="s">
        <v>26</v>
      </c>
      <c r="D353" s="6" t="n">
        <v>22</v>
      </c>
      <c r="E353" s="6" t="n">
        <v>15</v>
      </c>
      <c r="F353" s="6" t="n">
        <v>11</v>
      </c>
      <c r="G353" s="6" t="n">
        <v>20</v>
      </c>
      <c r="H353" s="6" t="n">
        <v>13</v>
      </c>
      <c r="I353" s="6" t="n">
        <v>23</v>
      </c>
      <c r="J353" s="6" t="n">
        <v>10</v>
      </c>
      <c r="K353" s="7" t="n">
        <f aca="false">SUM(D353:J353)</f>
        <v>114</v>
      </c>
    </row>
    <row r="354" customFormat="false" ht="15" hidden="false" customHeight="false" outlineLevel="0" collapsed="false">
      <c r="A354" s="42"/>
      <c r="B354" s="42"/>
      <c r="C354" s="44" t="s">
        <v>14</v>
      </c>
      <c r="D354" s="9" t="n">
        <v>17.1</v>
      </c>
      <c r="E354" s="9" t="n">
        <v>20.9</v>
      </c>
      <c r="F354" s="9" t="n">
        <v>17.1</v>
      </c>
      <c r="G354" s="9" t="n">
        <v>17.9</v>
      </c>
      <c r="H354" s="9" t="n">
        <v>14.5</v>
      </c>
      <c r="I354" s="9" t="n">
        <v>25.9</v>
      </c>
      <c r="J354" s="9" t="n">
        <v>9.8</v>
      </c>
      <c r="K354" s="10" t="n">
        <f aca="false">SUM(D354:J354)</f>
        <v>123.2</v>
      </c>
    </row>
    <row r="355" customFormat="false" ht="15" hidden="false" customHeight="false" outlineLevel="0" collapsed="false">
      <c r="A355" s="42"/>
      <c r="B355" s="42"/>
      <c r="C355" s="11" t="s">
        <v>41</v>
      </c>
      <c r="D355" s="14" t="n">
        <f aca="false">IFERROR((D354-D353)/D353,0)</f>
        <v>-0.222727272727273</v>
      </c>
      <c r="E355" s="14" t="n">
        <f aca="false">IFERROR((E354-E353)/E353,0)</f>
        <v>0.393333333333333</v>
      </c>
      <c r="F355" s="14" t="n">
        <f aca="false">IFERROR((F354-F353)/F353,0)</f>
        <v>0.554545454545455</v>
      </c>
      <c r="G355" s="14" t="n">
        <f aca="false">IFERROR((G354-G353)/G353,0)</f>
        <v>-0.105</v>
      </c>
      <c r="H355" s="14" t="n">
        <f aca="false">IFERROR((H354-H353)/H353,0)</f>
        <v>0.115384615384615</v>
      </c>
      <c r="I355" s="14" t="n">
        <f aca="false">IFERROR((I354-I353)/I353,0)</f>
        <v>0.126086956521739</v>
      </c>
      <c r="J355" s="14" t="n">
        <f aca="false">IFERROR((J354-J353)/J353,0)</f>
        <v>-0.0199999999999999</v>
      </c>
      <c r="K355" s="15" t="n">
        <f aca="false">IFERROR((SUM(D354:J354)-SUM(D353:J353))/SUM(D353:J353),0)</f>
        <v>0.0807017543859649</v>
      </c>
    </row>
    <row r="356" customFormat="false" ht="15" hidden="false" customHeight="true" outlineLevel="0" collapsed="false">
      <c r="A356" s="42" t="s">
        <v>352</v>
      </c>
      <c r="B356" s="43" t="s">
        <v>353</v>
      </c>
      <c r="C356" s="5" t="s">
        <v>26</v>
      </c>
      <c r="D356" s="6" t="n">
        <v>10</v>
      </c>
      <c r="E356" s="6" t="n">
        <v>30</v>
      </c>
      <c r="F356" s="6" t="n">
        <v>9</v>
      </c>
      <c r="G356" s="6" t="n">
        <v>18</v>
      </c>
      <c r="H356" s="6" t="n">
        <v>14</v>
      </c>
      <c r="I356" s="6" t="n">
        <v>19</v>
      </c>
      <c r="J356" s="6" t="n">
        <v>12</v>
      </c>
      <c r="K356" s="7" t="n">
        <f aca="false">SUM(D356:J356)</f>
        <v>112</v>
      </c>
    </row>
    <row r="357" customFormat="false" ht="15" hidden="false" customHeight="false" outlineLevel="0" collapsed="false">
      <c r="A357" s="42"/>
      <c r="B357" s="42"/>
      <c r="C357" s="44" t="s">
        <v>14</v>
      </c>
      <c r="D357" s="9" t="n">
        <v>12.3</v>
      </c>
      <c r="E357" s="9" t="n">
        <v>14.7</v>
      </c>
      <c r="F357" s="9" t="n">
        <v>16.1</v>
      </c>
      <c r="G357" s="9" t="n">
        <v>13.3</v>
      </c>
      <c r="H357" s="9" t="n">
        <v>12.7</v>
      </c>
      <c r="I357" s="9" t="n">
        <v>24.8</v>
      </c>
      <c r="J357" s="9" t="n">
        <v>14.7</v>
      </c>
      <c r="K357" s="10" t="n">
        <f aca="false">SUM(D357:J357)</f>
        <v>108.6</v>
      </c>
    </row>
    <row r="358" customFormat="false" ht="15" hidden="false" customHeight="false" outlineLevel="0" collapsed="false">
      <c r="A358" s="42"/>
      <c r="B358" s="42"/>
      <c r="C358" s="11" t="s">
        <v>41</v>
      </c>
      <c r="D358" s="14" t="n">
        <f aca="false">IFERROR((D357-D356)/D356,0)</f>
        <v>0.23</v>
      </c>
      <c r="E358" s="14" t="n">
        <f aca="false">IFERROR((E357-E356)/E356,0)</f>
        <v>-0.51</v>
      </c>
      <c r="F358" s="14" t="n">
        <f aca="false">IFERROR((F357-F356)/F356,0)</f>
        <v>0.788888888888889</v>
      </c>
      <c r="G358" s="14" t="n">
        <f aca="false">IFERROR((G357-G356)/G356,0)</f>
        <v>-0.261111111111111</v>
      </c>
      <c r="H358" s="14" t="n">
        <f aca="false">IFERROR((H357-H356)/H356,0)</f>
        <v>-0.0928571428571429</v>
      </c>
      <c r="I358" s="14" t="n">
        <f aca="false">IFERROR((I357-I356)/I356,0)</f>
        <v>0.305263157894737</v>
      </c>
      <c r="J358" s="14" t="n">
        <f aca="false">IFERROR((J357-J356)/J356,0)</f>
        <v>0.225</v>
      </c>
      <c r="K358" s="15" t="n">
        <f aca="false">IFERROR((SUM(D357:J357)-SUM(D356:J356))/SUM(D356:J356),0)</f>
        <v>-0.0303571428571428</v>
      </c>
    </row>
    <row r="359" customFormat="false" ht="15" hidden="false" customHeight="true" outlineLevel="0" collapsed="false">
      <c r="A359" s="42" t="s">
        <v>354</v>
      </c>
      <c r="B359" s="43" t="s">
        <v>355</v>
      </c>
      <c r="C359" s="5" t="s">
        <v>26</v>
      </c>
      <c r="D359" s="6" t="n">
        <v>6</v>
      </c>
      <c r="E359" s="6" t="n">
        <v>2</v>
      </c>
      <c r="F359" s="6" t="n">
        <v>8</v>
      </c>
      <c r="G359" s="6" t="n">
        <v>11</v>
      </c>
      <c r="H359" s="6" t="n">
        <v>24</v>
      </c>
      <c r="I359" s="6" t="n">
        <v>47</v>
      </c>
      <c r="J359" s="6" t="n">
        <v>14</v>
      </c>
      <c r="K359" s="7" t="n">
        <f aca="false">SUM(D359:J359)</f>
        <v>112</v>
      </c>
    </row>
    <row r="360" customFormat="false" ht="15" hidden="false" customHeight="false" outlineLevel="0" collapsed="false">
      <c r="A360" s="42"/>
      <c r="B360" s="42"/>
      <c r="C360" s="44" t="s">
        <v>14</v>
      </c>
      <c r="D360" s="9" t="n">
        <v>7.8</v>
      </c>
      <c r="E360" s="9" t="n">
        <v>10.7</v>
      </c>
      <c r="F360" s="9" t="n">
        <v>7.9</v>
      </c>
      <c r="G360" s="9" t="n">
        <v>14.1</v>
      </c>
      <c r="H360" s="9" t="n">
        <v>15.4</v>
      </c>
      <c r="I360" s="9" t="n">
        <v>34.6</v>
      </c>
      <c r="J360" s="9" t="n">
        <v>27.8</v>
      </c>
      <c r="K360" s="10" t="n">
        <f aca="false">SUM(D360:J360)</f>
        <v>118.3</v>
      </c>
    </row>
    <row r="361" customFormat="false" ht="15" hidden="false" customHeight="false" outlineLevel="0" collapsed="false">
      <c r="A361" s="42"/>
      <c r="B361" s="42"/>
      <c r="C361" s="11" t="s">
        <v>41</v>
      </c>
      <c r="D361" s="14" t="n">
        <f aca="false">IFERROR((D360-D359)/D359,0)</f>
        <v>0.3</v>
      </c>
      <c r="E361" s="14" t="n">
        <f aca="false">IFERROR((E360-E359)/E359,0)</f>
        <v>4.35</v>
      </c>
      <c r="F361" s="14" t="n">
        <f aca="false">IFERROR((F360-F359)/F359,0)</f>
        <v>-0.0125</v>
      </c>
      <c r="G361" s="14" t="n">
        <f aca="false">IFERROR((G360-G359)/G359,0)</f>
        <v>0.281818181818182</v>
      </c>
      <c r="H361" s="14" t="n">
        <f aca="false">IFERROR((H360-H359)/H359,0)</f>
        <v>-0.358333333333333</v>
      </c>
      <c r="I361" s="14" t="n">
        <f aca="false">IFERROR((I360-I359)/I359,0)</f>
        <v>-0.263829787234043</v>
      </c>
      <c r="J361" s="14" t="n">
        <f aca="false">IFERROR((J360-J359)/J359,0)</f>
        <v>0.985714285714286</v>
      </c>
      <c r="K361" s="15" t="n">
        <f aca="false">IFERROR((SUM(D360:J360)-SUM(D359:J359))/SUM(D359:J359),0)</f>
        <v>0.05625</v>
      </c>
    </row>
    <row r="362" customFormat="false" ht="15" hidden="false" customHeight="true" outlineLevel="0" collapsed="false">
      <c r="A362" s="42" t="s">
        <v>356</v>
      </c>
      <c r="B362" s="43" t="s">
        <v>357</v>
      </c>
      <c r="C362" s="5" t="s">
        <v>26</v>
      </c>
      <c r="D362" s="6" t="n">
        <v>14</v>
      </c>
      <c r="E362" s="6" t="n">
        <v>12</v>
      </c>
      <c r="F362" s="6" t="n">
        <v>14</v>
      </c>
      <c r="G362" s="6" t="n">
        <v>15</v>
      </c>
      <c r="H362" s="6" t="n">
        <v>24</v>
      </c>
      <c r="I362" s="6" t="n">
        <v>23</v>
      </c>
      <c r="J362" s="6" t="n">
        <v>10</v>
      </c>
      <c r="K362" s="7" t="n">
        <f aca="false">SUM(D362:J362)</f>
        <v>112</v>
      </c>
    </row>
    <row r="363" customFormat="false" ht="15" hidden="false" customHeight="false" outlineLevel="0" collapsed="false">
      <c r="A363" s="42"/>
      <c r="B363" s="42"/>
      <c r="C363" s="44" t="s">
        <v>14</v>
      </c>
      <c r="D363" s="9" t="n">
        <v>9.8</v>
      </c>
      <c r="E363" s="9" t="n">
        <v>12.7</v>
      </c>
      <c r="F363" s="9" t="n">
        <v>12.3</v>
      </c>
      <c r="G363" s="9" t="n">
        <v>12</v>
      </c>
      <c r="H363" s="9" t="n">
        <v>13.2</v>
      </c>
      <c r="I363" s="9" t="n">
        <v>24.9</v>
      </c>
      <c r="J363" s="9" t="n">
        <v>11.8</v>
      </c>
      <c r="K363" s="10" t="n">
        <f aca="false">SUM(D363:J363)</f>
        <v>96.7</v>
      </c>
    </row>
    <row r="364" customFormat="false" ht="15" hidden="false" customHeight="false" outlineLevel="0" collapsed="false">
      <c r="A364" s="42"/>
      <c r="B364" s="42"/>
      <c r="C364" s="11" t="s">
        <v>41</v>
      </c>
      <c r="D364" s="14" t="n">
        <f aca="false">IFERROR((D363-D362)/D362,0)</f>
        <v>-0.3</v>
      </c>
      <c r="E364" s="14" t="n">
        <f aca="false">IFERROR((E363-E362)/E362,0)</f>
        <v>0.0583333333333333</v>
      </c>
      <c r="F364" s="14" t="n">
        <f aca="false">IFERROR((F363-F362)/F362,0)</f>
        <v>-0.121428571428571</v>
      </c>
      <c r="G364" s="14" t="n">
        <f aca="false">IFERROR((G363-G362)/G362,0)</f>
        <v>-0.2</v>
      </c>
      <c r="H364" s="14" t="n">
        <f aca="false">IFERROR((H363-H362)/H362,0)</f>
        <v>-0.45</v>
      </c>
      <c r="I364" s="14" t="n">
        <f aca="false">IFERROR((I363-I362)/I362,0)</f>
        <v>0.0826086956521739</v>
      </c>
      <c r="J364" s="14" t="n">
        <f aca="false">IFERROR((J363-J362)/J362,0)</f>
        <v>0.18</v>
      </c>
      <c r="K364" s="15" t="n">
        <f aca="false">IFERROR((SUM(D363:J363)-SUM(D362:J362))/SUM(D362:J362),0)</f>
        <v>-0.136607142857143</v>
      </c>
    </row>
    <row r="365" customFormat="false" ht="15" hidden="false" customHeight="true" outlineLevel="0" collapsed="false">
      <c r="A365" s="42" t="s">
        <v>358</v>
      </c>
      <c r="B365" s="43" t="s">
        <v>180</v>
      </c>
      <c r="C365" s="5" t="s">
        <v>26</v>
      </c>
      <c r="D365" s="6" t="n">
        <v>12</v>
      </c>
      <c r="E365" s="6" t="n">
        <v>8</v>
      </c>
      <c r="F365" s="6" t="n">
        <v>10</v>
      </c>
      <c r="G365" s="6" t="n">
        <v>16</v>
      </c>
      <c r="H365" s="6" t="n">
        <v>15</v>
      </c>
      <c r="I365" s="6" t="n">
        <v>34</v>
      </c>
      <c r="J365" s="6" t="n">
        <v>16</v>
      </c>
      <c r="K365" s="7" t="n">
        <f aca="false">SUM(D365:J365)</f>
        <v>111</v>
      </c>
    </row>
    <row r="366" customFormat="false" ht="15" hidden="false" customHeight="false" outlineLevel="0" collapsed="false">
      <c r="A366" s="42"/>
      <c r="B366" s="42"/>
      <c r="C366" s="44" t="s">
        <v>14</v>
      </c>
      <c r="D366" s="9" t="n">
        <v>10.2</v>
      </c>
      <c r="E366" s="9" t="n">
        <v>15.8</v>
      </c>
      <c r="F366" s="9" t="n">
        <v>14.1</v>
      </c>
      <c r="G366" s="9" t="n">
        <v>14.2</v>
      </c>
      <c r="H366" s="9" t="n">
        <v>15.4</v>
      </c>
      <c r="I366" s="9" t="n">
        <v>33.1</v>
      </c>
      <c r="J366" s="9" t="n">
        <v>25.8</v>
      </c>
      <c r="K366" s="10" t="n">
        <f aca="false">SUM(D366:J366)</f>
        <v>128.6</v>
      </c>
    </row>
    <row r="367" customFormat="false" ht="15" hidden="false" customHeight="false" outlineLevel="0" collapsed="false">
      <c r="A367" s="42"/>
      <c r="B367" s="42"/>
      <c r="C367" s="11" t="s">
        <v>41</v>
      </c>
      <c r="D367" s="14" t="n">
        <f aca="false">IFERROR((D366-D365)/D365,0)</f>
        <v>-0.15</v>
      </c>
      <c r="E367" s="14" t="n">
        <f aca="false">IFERROR((E366-E365)/E365,0)</f>
        <v>0.975</v>
      </c>
      <c r="F367" s="14" t="n">
        <f aca="false">IFERROR((F366-F365)/F365,0)</f>
        <v>0.41</v>
      </c>
      <c r="G367" s="14" t="n">
        <f aca="false">IFERROR((G366-G365)/G365,0)</f>
        <v>-0.1125</v>
      </c>
      <c r="H367" s="14" t="n">
        <f aca="false">IFERROR((H366-H365)/H365,0)</f>
        <v>0.0266666666666667</v>
      </c>
      <c r="I367" s="14" t="n">
        <f aca="false">IFERROR((I366-I365)/I365,0)</f>
        <v>-0.0264705882352941</v>
      </c>
      <c r="J367" s="14" t="n">
        <f aca="false">IFERROR((J366-J365)/J365,0)</f>
        <v>0.6125</v>
      </c>
      <c r="K367" s="15" t="n">
        <f aca="false">IFERROR((SUM(D366:J366)-SUM(D365:J365))/SUM(D365:J365),0)</f>
        <v>0.158558558558559</v>
      </c>
    </row>
    <row r="368" customFormat="false" ht="15" hidden="false" customHeight="true" outlineLevel="0" collapsed="false">
      <c r="A368" s="42" t="s">
        <v>359</v>
      </c>
      <c r="B368" s="43" t="s">
        <v>360</v>
      </c>
      <c r="C368" s="5" t="s">
        <v>26</v>
      </c>
      <c r="D368" s="6" t="n">
        <v>12</v>
      </c>
      <c r="E368" s="6" t="n">
        <v>17</v>
      </c>
      <c r="F368" s="6" t="n">
        <v>10</v>
      </c>
      <c r="G368" s="6" t="n">
        <v>7</v>
      </c>
      <c r="H368" s="6" t="n">
        <v>21</v>
      </c>
      <c r="I368" s="6" t="n">
        <v>24</v>
      </c>
      <c r="J368" s="6" t="n">
        <v>20</v>
      </c>
      <c r="K368" s="7" t="n">
        <f aca="false">SUM(D368:J368)</f>
        <v>111</v>
      </c>
    </row>
    <row r="369" customFormat="false" ht="15" hidden="false" customHeight="false" outlineLevel="0" collapsed="false">
      <c r="A369" s="42"/>
      <c r="B369" s="42"/>
      <c r="C369" s="44" t="s">
        <v>14</v>
      </c>
      <c r="D369" s="9" t="n">
        <v>14.6</v>
      </c>
      <c r="E369" s="9" t="n">
        <v>14.8</v>
      </c>
      <c r="F369" s="9" t="n">
        <v>14.5</v>
      </c>
      <c r="G369" s="9" t="n">
        <v>15.9</v>
      </c>
      <c r="H369" s="9" t="n">
        <v>15.4</v>
      </c>
      <c r="I369" s="9" t="n">
        <v>31.5</v>
      </c>
      <c r="J369" s="9" t="n">
        <v>31.7</v>
      </c>
      <c r="K369" s="10" t="n">
        <f aca="false">SUM(D369:J369)</f>
        <v>138.4</v>
      </c>
    </row>
    <row r="370" customFormat="false" ht="15" hidden="false" customHeight="false" outlineLevel="0" collapsed="false">
      <c r="A370" s="42"/>
      <c r="B370" s="42"/>
      <c r="C370" s="11" t="s">
        <v>41</v>
      </c>
      <c r="D370" s="14" t="n">
        <f aca="false">IFERROR((D369-D368)/D368,0)</f>
        <v>0.216666666666667</v>
      </c>
      <c r="E370" s="14" t="n">
        <f aca="false">IFERROR((E369-E368)/E368,0)</f>
        <v>-0.129411764705882</v>
      </c>
      <c r="F370" s="14" t="n">
        <f aca="false">IFERROR((F369-F368)/F368,0)</f>
        <v>0.45</v>
      </c>
      <c r="G370" s="14" t="n">
        <f aca="false">IFERROR((G369-G368)/G368,0)</f>
        <v>1.27142857142857</v>
      </c>
      <c r="H370" s="14" t="n">
        <f aca="false">IFERROR((H369-H368)/H368,0)</f>
        <v>-0.266666666666667</v>
      </c>
      <c r="I370" s="14" t="n">
        <f aca="false">IFERROR((I369-I368)/I368,0)</f>
        <v>0.3125</v>
      </c>
      <c r="J370" s="14" t="n">
        <f aca="false">IFERROR((J369-J368)/J368,0)</f>
        <v>0.585</v>
      </c>
      <c r="K370" s="15" t="n">
        <f aca="false">IFERROR((SUM(D369:J369)-SUM(D368:J368))/SUM(D368:J368),0)</f>
        <v>0.246846846846847</v>
      </c>
    </row>
    <row r="371" customFormat="false" ht="15" hidden="false" customHeight="true" outlineLevel="0" collapsed="false">
      <c r="A371" s="42" t="s">
        <v>361</v>
      </c>
      <c r="B371" s="43" t="s">
        <v>362</v>
      </c>
      <c r="C371" s="5" t="s">
        <v>26</v>
      </c>
      <c r="D371" s="6" t="n">
        <v>5</v>
      </c>
      <c r="E371" s="6" t="n">
        <v>9</v>
      </c>
      <c r="F371" s="6" t="n">
        <v>14</v>
      </c>
      <c r="G371" s="6" t="n">
        <v>23</v>
      </c>
      <c r="H371" s="6" t="n">
        <v>25</v>
      </c>
      <c r="I371" s="6" t="n">
        <v>27</v>
      </c>
      <c r="J371" s="6" t="n">
        <v>5</v>
      </c>
      <c r="K371" s="7" t="n">
        <f aca="false">SUM(D371:J371)</f>
        <v>108</v>
      </c>
    </row>
    <row r="372" customFormat="false" ht="15" hidden="false" customHeight="false" outlineLevel="0" collapsed="false">
      <c r="A372" s="42"/>
      <c r="B372" s="42"/>
      <c r="C372" s="44" t="s">
        <v>14</v>
      </c>
      <c r="D372" s="9" t="n">
        <v>9.7</v>
      </c>
      <c r="E372" s="9" t="n">
        <v>10.8</v>
      </c>
      <c r="F372" s="9" t="n">
        <v>12.9</v>
      </c>
      <c r="G372" s="9" t="n">
        <v>10</v>
      </c>
      <c r="H372" s="9" t="n">
        <v>14</v>
      </c>
      <c r="I372" s="9" t="n">
        <v>25.6</v>
      </c>
      <c r="J372" s="9" t="n">
        <v>7.6</v>
      </c>
      <c r="K372" s="10" t="n">
        <f aca="false">SUM(D372:J372)</f>
        <v>90.6</v>
      </c>
    </row>
    <row r="373" customFormat="false" ht="15" hidden="false" customHeight="false" outlineLevel="0" collapsed="false">
      <c r="A373" s="42"/>
      <c r="B373" s="42"/>
      <c r="C373" s="11" t="s">
        <v>41</v>
      </c>
      <c r="D373" s="14" t="n">
        <f aca="false">IFERROR((D372-D371)/D371,0)</f>
        <v>0.94</v>
      </c>
      <c r="E373" s="14" t="n">
        <f aca="false">IFERROR((E372-E371)/E371,0)</f>
        <v>0.2</v>
      </c>
      <c r="F373" s="14" t="n">
        <f aca="false">IFERROR((F372-F371)/F371,0)</f>
        <v>-0.0785714285714285</v>
      </c>
      <c r="G373" s="14" t="n">
        <f aca="false">IFERROR((G372-G371)/G371,0)</f>
        <v>-0.565217391304348</v>
      </c>
      <c r="H373" s="14" t="n">
        <f aca="false">IFERROR((H372-H371)/H371,0)</f>
        <v>-0.44</v>
      </c>
      <c r="I373" s="14" t="n">
        <f aca="false">IFERROR((I372-I371)/I371,0)</f>
        <v>-0.0518518518518518</v>
      </c>
      <c r="J373" s="14" t="n">
        <f aca="false">IFERROR((J372-J371)/J371,0)</f>
        <v>0.52</v>
      </c>
      <c r="K373" s="15" t="n">
        <f aca="false">IFERROR((SUM(D372:J372)-SUM(D371:J371))/SUM(D371:J371),0)</f>
        <v>-0.161111111111111</v>
      </c>
    </row>
    <row r="374" customFormat="false" ht="15" hidden="false" customHeight="true" outlineLevel="0" collapsed="false">
      <c r="A374" s="42" t="s">
        <v>363</v>
      </c>
      <c r="B374" s="43" t="s">
        <v>364</v>
      </c>
      <c r="C374" s="5" t="s">
        <v>26</v>
      </c>
      <c r="D374" s="6" t="n">
        <v>16</v>
      </c>
      <c r="E374" s="6" t="n">
        <v>15</v>
      </c>
      <c r="F374" s="6" t="n">
        <v>5</v>
      </c>
      <c r="G374" s="6" t="n">
        <v>29</v>
      </c>
      <c r="H374" s="6" t="n">
        <v>18</v>
      </c>
      <c r="I374" s="6" t="n">
        <v>17</v>
      </c>
      <c r="J374" s="6" t="n">
        <v>8</v>
      </c>
      <c r="K374" s="7" t="n">
        <f aca="false">SUM(D374:J374)</f>
        <v>108</v>
      </c>
    </row>
    <row r="375" customFormat="false" ht="15" hidden="false" customHeight="false" outlineLevel="0" collapsed="false">
      <c r="A375" s="42"/>
      <c r="B375" s="42"/>
      <c r="C375" s="44" t="s">
        <v>14</v>
      </c>
      <c r="D375" s="9" t="n">
        <v>12</v>
      </c>
      <c r="E375" s="9" t="n">
        <v>14</v>
      </c>
      <c r="F375" s="9" t="n">
        <v>13.2</v>
      </c>
      <c r="G375" s="9" t="n">
        <v>13.9</v>
      </c>
      <c r="H375" s="9" t="n">
        <v>13.9</v>
      </c>
      <c r="I375" s="9" t="n">
        <v>16.7</v>
      </c>
      <c r="J375" s="9" t="n">
        <v>13.6</v>
      </c>
      <c r="K375" s="10" t="n">
        <f aca="false">SUM(D375:J375)</f>
        <v>97.3</v>
      </c>
    </row>
    <row r="376" customFormat="false" ht="15" hidden="false" customHeight="false" outlineLevel="0" collapsed="false">
      <c r="A376" s="42"/>
      <c r="B376" s="42"/>
      <c r="C376" s="11" t="s">
        <v>41</v>
      </c>
      <c r="D376" s="14" t="n">
        <f aca="false">IFERROR((D375-D374)/D374,0)</f>
        <v>-0.25</v>
      </c>
      <c r="E376" s="14" t="n">
        <f aca="false">IFERROR((E375-E374)/E374,0)</f>
        <v>-0.0666666666666667</v>
      </c>
      <c r="F376" s="14" t="n">
        <f aca="false">IFERROR((F375-F374)/F374,0)</f>
        <v>1.64</v>
      </c>
      <c r="G376" s="14" t="n">
        <f aca="false">IFERROR((G375-G374)/G374,0)</f>
        <v>-0.520689655172414</v>
      </c>
      <c r="H376" s="14" t="n">
        <f aca="false">IFERROR((H375-H374)/H374,0)</f>
        <v>-0.227777777777778</v>
      </c>
      <c r="I376" s="14" t="n">
        <f aca="false">IFERROR((I375-I374)/I374,0)</f>
        <v>-0.0176470588235295</v>
      </c>
      <c r="J376" s="14" t="n">
        <f aca="false">IFERROR((J375-J374)/J374,0)</f>
        <v>0.7</v>
      </c>
      <c r="K376" s="15" t="n">
        <f aca="false">IFERROR((SUM(D375:J375)-SUM(D374:J374))/SUM(D374:J374),0)</f>
        <v>-0.0990740740740741</v>
      </c>
    </row>
    <row r="377" customFormat="false" ht="15" hidden="false" customHeight="true" outlineLevel="0" collapsed="false">
      <c r="A377" s="42" t="s">
        <v>365</v>
      </c>
      <c r="B377" s="43" t="s">
        <v>366</v>
      </c>
      <c r="C377" s="5" t="s">
        <v>26</v>
      </c>
      <c r="D377" s="6" t="n">
        <v>12</v>
      </c>
      <c r="E377" s="6" t="n">
        <v>12</v>
      </c>
      <c r="F377" s="6" t="n">
        <v>7</v>
      </c>
      <c r="G377" s="6" t="n">
        <v>18</v>
      </c>
      <c r="H377" s="6" t="n">
        <v>17</v>
      </c>
      <c r="I377" s="6" t="n">
        <v>30</v>
      </c>
      <c r="J377" s="6" t="n">
        <v>12</v>
      </c>
      <c r="K377" s="7" t="n">
        <f aca="false">SUM(D377:J377)</f>
        <v>108</v>
      </c>
    </row>
    <row r="378" customFormat="false" ht="15" hidden="false" customHeight="false" outlineLevel="0" collapsed="false">
      <c r="A378" s="42"/>
      <c r="B378" s="42"/>
      <c r="C378" s="44" t="s">
        <v>14</v>
      </c>
      <c r="D378" s="9" t="n">
        <v>13.6</v>
      </c>
      <c r="E378" s="9" t="n">
        <v>10.2</v>
      </c>
      <c r="F378" s="9" t="n">
        <v>12.3</v>
      </c>
      <c r="G378" s="9" t="n">
        <v>18.1</v>
      </c>
      <c r="H378" s="9" t="n">
        <v>18.6</v>
      </c>
      <c r="I378" s="9" t="n">
        <v>46.9</v>
      </c>
      <c r="J378" s="9" t="n">
        <v>19.7</v>
      </c>
      <c r="K378" s="10" t="n">
        <f aca="false">SUM(D378:J378)</f>
        <v>139.4</v>
      </c>
    </row>
    <row r="379" customFormat="false" ht="15" hidden="false" customHeight="false" outlineLevel="0" collapsed="false">
      <c r="A379" s="42"/>
      <c r="B379" s="42"/>
      <c r="C379" s="11" t="s">
        <v>41</v>
      </c>
      <c r="D379" s="14" t="n">
        <f aca="false">IFERROR((D378-D377)/D377,0)</f>
        <v>0.133333333333333</v>
      </c>
      <c r="E379" s="14" t="n">
        <f aca="false">IFERROR((E378-E377)/E377,0)</f>
        <v>-0.15</v>
      </c>
      <c r="F379" s="14" t="n">
        <f aca="false">IFERROR((F378-F377)/F377,0)</f>
        <v>0.757142857142857</v>
      </c>
      <c r="G379" s="14" t="n">
        <f aca="false">IFERROR((G378-G377)/G377,0)</f>
        <v>0.00555555555555564</v>
      </c>
      <c r="H379" s="14" t="n">
        <f aca="false">IFERROR((H378-H377)/H377,0)</f>
        <v>0.0941176470588236</v>
      </c>
      <c r="I379" s="14" t="n">
        <f aca="false">IFERROR((I378-I377)/I377,0)</f>
        <v>0.563333333333333</v>
      </c>
      <c r="J379" s="14" t="n">
        <f aca="false">IFERROR((J378-J377)/J377,0)</f>
        <v>0.641666666666667</v>
      </c>
      <c r="K379" s="15" t="n">
        <f aca="false">IFERROR((SUM(D378:J378)-SUM(D377:J377))/SUM(D377:J377),0)</f>
        <v>0.290740740740741</v>
      </c>
    </row>
    <row r="380" customFormat="false" ht="15" hidden="false" customHeight="true" outlineLevel="0" collapsed="false">
      <c r="A380" s="42" t="s">
        <v>367</v>
      </c>
      <c r="B380" s="43" t="s">
        <v>288</v>
      </c>
      <c r="C380" s="5" t="s">
        <v>26</v>
      </c>
      <c r="D380" s="6" t="n">
        <v>8</v>
      </c>
      <c r="E380" s="6" t="n">
        <v>18</v>
      </c>
      <c r="F380" s="6" t="n">
        <v>10</v>
      </c>
      <c r="G380" s="6" t="n">
        <v>10</v>
      </c>
      <c r="H380" s="6" t="n">
        <v>19</v>
      </c>
      <c r="I380" s="6" t="n">
        <v>24</v>
      </c>
      <c r="J380" s="6" t="n">
        <v>17</v>
      </c>
      <c r="K380" s="7" t="n">
        <f aca="false">SUM(D380:J380)</f>
        <v>106</v>
      </c>
    </row>
    <row r="381" customFormat="false" ht="15" hidden="false" customHeight="false" outlineLevel="0" collapsed="false">
      <c r="A381" s="42"/>
      <c r="B381" s="42"/>
      <c r="C381" s="44" t="s">
        <v>14</v>
      </c>
      <c r="D381" s="9" t="n">
        <v>10.5</v>
      </c>
      <c r="E381" s="9" t="n">
        <v>14.6</v>
      </c>
      <c r="F381" s="9" t="n">
        <v>11.8</v>
      </c>
      <c r="G381" s="9" t="n">
        <v>13.2</v>
      </c>
      <c r="H381" s="9" t="n">
        <v>16.5</v>
      </c>
      <c r="I381" s="9" t="n">
        <v>34.3</v>
      </c>
      <c r="J381" s="9" t="n">
        <v>20.3</v>
      </c>
      <c r="K381" s="10" t="n">
        <f aca="false">SUM(D381:J381)</f>
        <v>121.2</v>
      </c>
    </row>
    <row r="382" customFormat="false" ht="15" hidden="false" customHeight="false" outlineLevel="0" collapsed="false">
      <c r="A382" s="42"/>
      <c r="B382" s="42"/>
      <c r="C382" s="11" t="s">
        <v>41</v>
      </c>
      <c r="D382" s="14" t="n">
        <f aca="false">IFERROR((D381-D380)/D380,0)</f>
        <v>0.3125</v>
      </c>
      <c r="E382" s="14" t="n">
        <f aca="false">IFERROR((E381-E380)/E380,0)</f>
        <v>-0.188888888888889</v>
      </c>
      <c r="F382" s="14" t="n">
        <f aca="false">IFERROR((F381-F380)/F380,0)</f>
        <v>0.18</v>
      </c>
      <c r="G382" s="14" t="n">
        <f aca="false">IFERROR((G381-G380)/G380,0)</f>
        <v>0.32</v>
      </c>
      <c r="H382" s="14" t="n">
        <f aca="false">IFERROR((H381-H380)/H380,0)</f>
        <v>-0.131578947368421</v>
      </c>
      <c r="I382" s="14" t="n">
        <f aca="false">IFERROR((I381-I380)/I380,0)</f>
        <v>0.429166666666667</v>
      </c>
      <c r="J382" s="14" t="n">
        <f aca="false">IFERROR((J381-J380)/J380,0)</f>
        <v>0.194117647058824</v>
      </c>
      <c r="K382" s="15" t="n">
        <f aca="false">IFERROR((SUM(D381:J381)-SUM(D380:J380))/SUM(D380:J380),0)</f>
        <v>0.143396226415094</v>
      </c>
    </row>
    <row r="383" customFormat="false" ht="15" hidden="false" customHeight="true" outlineLevel="0" collapsed="false">
      <c r="A383" s="42" t="s">
        <v>368</v>
      </c>
      <c r="B383" s="43" t="s">
        <v>369</v>
      </c>
      <c r="C383" s="5" t="s">
        <v>26</v>
      </c>
      <c r="D383" s="6" t="n">
        <v>19</v>
      </c>
      <c r="E383" s="6" t="n">
        <v>12</v>
      </c>
      <c r="F383" s="6" t="n">
        <v>33</v>
      </c>
      <c r="G383" s="6" t="n">
        <v>29</v>
      </c>
      <c r="H383" s="6" t="n">
        <v>8</v>
      </c>
      <c r="I383" s="6" t="n">
        <v>1</v>
      </c>
      <c r="J383" s="6" t="n">
        <v>3</v>
      </c>
      <c r="K383" s="7" t="n">
        <f aca="false">SUM(D383:J383)</f>
        <v>105</v>
      </c>
    </row>
    <row r="384" customFormat="false" ht="15" hidden="false" customHeight="false" outlineLevel="0" collapsed="false">
      <c r="A384" s="42"/>
      <c r="B384" s="42"/>
      <c r="C384" s="44" t="s">
        <v>14</v>
      </c>
      <c r="D384" s="9" t="n">
        <v>13</v>
      </c>
      <c r="E384" s="9" t="n">
        <v>13.2</v>
      </c>
      <c r="F384" s="9" t="n">
        <v>13.2</v>
      </c>
      <c r="G384" s="9" t="n">
        <v>16.2</v>
      </c>
      <c r="H384" s="9" t="n">
        <v>10.3</v>
      </c>
      <c r="I384" s="9" t="n">
        <v>3.8</v>
      </c>
      <c r="J384" s="9" t="n">
        <v>4.5</v>
      </c>
      <c r="K384" s="10" t="n">
        <f aca="false">SUM(D384:J384)</f>
        <v>74.2</v>
      </c>
    </row>
    <row r="385" customFormat="false" ht="15" hidden="false" customHeight="false" outlineLevel="0" collapsed="false">
      <c r="A385" s="42"/>
      <c r="B385" s="42"/>
      <c r="C385" s="11" t="s">
        <v>41</v>
      </c>
      <c r="D385" s="14" t="n">
        <f aca="false">IFERROR((D384-D383)/D383,0)</f>
        <v>-0.315789473684211</v>
      </c>
      <c r="E385" s="14" t="n">
        <f aca="false">IFERROR((E384-E383)/E383,0)</f>
        <v>0.0999999999999999</v>
      </c>
      <c r="F385" s="14" t="n">
        <f aca="false">IFERROR((F384-F383)/F383,0)</f>
        <v>-0.6</v>
      </c>
      <c r="G385" s="14" t="n">
        <f aca="false">IFERROR((G384-G383)/G383,0)</f>
        <v>-0.441379310344828</v>
      </c>
      <c r="H385" s="14" t="n">
        <f aca="false">IFERROR((H384-H383)/H383,0)</f>
        <v>0.2875</v>
      </c>
      <c r="I385" s="14" t="n">
        <f aca="false">IFERROR((I384-I383)/I383,0)</f>
        <v>2.8</v>
      </c>
      <c r="J385" s="14" t="n">
        <f aca="false">IFERROR((J384-J383)/J383,0)</f>
        <v>0.5</v>
      </c>
      <c r="K385" s="15" t="n">
        <f aca="false">IFERROR((SUM(D384:J384)-SUM(D383:J383))/SUM(D383:J383),0)</f>
        <v>-0.293333333333333</v>
      </c>
    </row>
    <row r="386" customFormat="false" ht="15" hidden="false" customHeight="true" outlineLevel="0" collapsed="false">
      <c r="A386" s="42" t="s">
        <v>370</v>
      </c>
      <c r="B386" s="43" t="s">
        <v>371</v>
      </c>
      <c r="C386" s="5" t="s">
        <v>26</v>
      </c>
      <c r="D386" s="6" t="n">
        <v>17</v>
      </c>
      <c r="E386" s="6" t="n">
        <v>16</v>
      </c>
      <c r="F386" s="6" t="n">
        <v>7</v>
      </c>
      <c r="G386" s="6" t="n">
        <v>8</v>
      </c>
      <c r="H386" s="6" t="n">
        <v>13</v>
      </c>
      <c r="I386" s="6" t="n">
        <v>26</v>
      </c>
      <c r="J386" s="6" t="n">
        <v>15</v>
      </c>
      <c r="K386" s="7" t="n">
        <f aca="false">SUM(D386:J386)</f>
        <v>102</v>
      </c>
    </row>
    <row r="387" customFormat="false" ht="15" hidden="false" customHeight="false" outlineLevel="0" collapsed="false">
      <c r="A387" s="42"/>
      <c r="B387" s="42"/>
      <c r="C387" s="44" t="s">
        <v>14</v>
      </c>
      <c r="D387" s="9" t="n">
        <v>17.9</v>
      </c>
      <c r="E387" s="9" t="n">
        <v>20.9</v>
      </c>
      <c r="F387" s="9" t="n">
        <v>14.5</v>
      </c>
      <c r="G387" s="9" t="n">
        <v>14.2</v>
      </c>
      <c r="H387" s="9" t="n">
        <v>13.4</v>
      </c>
      <c r="I387" s="9" t="n">
        <v>17.3</v>
      </c>
      <c r="J387" s="9" t="n">
        <v>14.1</v>
      </c>
      <c r="K387" s="10" t="n">
        <f aca="false">SUM(D387:J387)</f>
        <v>112.3</v>
      </c>
    </row>
    <row r="388" customFormat="false" ht="15" hidden="false" customHeight="false" outlineLevel="0" collapsed="false">
      <c r="A388" s="42"/>
      <c r="B388" s="42"/>
      <c r="C388" s="11" t="s">
        <v>41</v>
      </c>
      <c r="D388" s="14" t="n">
        <f aca="false">IFERROR((D387-D386)/D386,0)</f>
        <v>0.0529411764705882</v>
      </c>
      <c r="E388" s="14" t="n">
        <f aca="false">IFERROR((E387-E386)/E386,0)</f>
        <v>0.30625</v>
      </c>
      <c r="F388" s="14" t="n">
        <f aca="false">IFERROR((F387-F386)/F386,0)</f>
        <v>1.07142857142857</v>
      </c>
      <c r="G388" s="14" t="n">
        <f aca="false">IFERROR((G387-G386)/G386,0)</f>
        <v>0.775</v>
      </c>
      <c r="H388" s="14" t="n">
        <f aca="false">IFERROR((H387-H386)/H386,0)</f>
        <v>0.0307692307692308</v>
      </c>
      <c r="I388" s="14" t="n">
        <f aca="false">IFERROR((I387-I386)/I386,0)</f>
        <v>-0.334615384615385</v>
      </c>
      <c r="J388" s="14" t="n">
        <f aca="false">IFERROR((J387-J386)/J386,0)</f>
        <v>-0.06</v>
      </c>
      <c r="K388" s="15" t="n">
        <f aca="false">IFERROR((SUM(D387:J387)-SUM(D386:J386))/SUM(D386:J386),0)</f>
        <v>0.100980392156863</v>
      </c>
    </row>
    <row r="389" customFormat="false" ht="15" hidden="false" customHeight="true" outlineLevel="0" collapsed="false">
      <c r="A389" s="42" t="s">
        <v>372</v>
      </c>
      <c r="B389" s="43" t="s">
        <v>373</v>
      </c>
      <c r="C389" s="5" t="s">
        <v>26</v>
      </c>
      <c r="D389" s="6" t="n">
        <v>4</v>
      </c>
      <c r="E389" s="6" t="n">
        <v>6</v>
      </c>
      <c r="F389" s="6" t="n">
        <v>7</v>
      </c>
      <c r="G389" s="6" t="n">
        <v>13</v>
      </c>
      <c r="H389" s="6" t="n">
        <v>14</v>
      </c>
      <c r="I389" s="6" t="n">
        <v>41</v>
      </c>
      <c r="J389" s="6" t="n">
        <v>15</v>
      </c>
      <c r="K389" s="7" t="n">
        <f aca="false">SUM(D389:J389)</f>
        <v>100</v>
      </c>
    </row>
    <row r="390" customFormat="false" ht="15" hidden="false" customHeight="false" outlineLevel="0" collapsed="false">
      <c r="A390" s="42"/>
      <c r="B390" s="42"/>
      <c r="C390" s="44" t="s">
        <v>14</v>
      </c>
      <c r="D390" s="9" t="n">
        <v>5.6</v>
      </c>
      <c r="E390" s="9" t="n">
        <v>14.3</v>
      </c>
      <c r="F390" s="9" t="n">
        <v>10.9</v>
      </c>
      <c r="G390" s="9" t="n">
        <v>11.3</v>
      </c>
      <c r="H390" s="9" t="n">
        <v>13.8</v>
      </c>
      <c r="I390" s="9" t="n">
        <v>28.5</v>
      </c>
      <c r="J390" s="9" t="n">
        <v>13</v>
      </c>
      <c r="K390" s="10" t="n">
        <f aca="false">SUM(D390:J390)</f>
        <v>97.4</v>
      </c>
    </row>
    <row r="391" customFormat="false" ht="15" hidden="false" customHeight="false" outlineLevel="0" collapsed="false">
      <c r="A391" s="42"/>
      <c r="B391" s="42"/>
      <c r="C391" s="11" t="s">
        <v>41</v>
      </c>
      <c r="D391" s="14" t="n">
        <f aca="false">IFERROR((D390-D389)/D389,0)</f>
        <v>0.4</v>
      </c>
      <c r="E391" s="14" t="n">
        <f aca="false">IFERROR((E390-E389)/E389,0)</f>
        <v>1.38333333333333</v>
      </c>
      <c r="F391" s="14" t="n">
        <f aca="false">IFERROR((F390-F389)/F389,0)</f>
        <v>0.557142857142857</v>
      </c>
      <c r="G391" s="14" t="n">
        <f aca="false">IFERROR((G390-G389)/G389,0)</f>
        <v>-0.130769230769231</v>
      </c>
      <c r="H391" s="14" t="n">
        <f aca="false">IFERROR((H390-H389)/H389,0)</f>
        <v>-0.0142857142857142</v>
      </c>
      <c r="I391" s="14" t="n">
        <f aca="false">IFERROR((I390-I389)/I389,0)</f>
        <v>-0.304878048780488</v>
      </c>
      <c r="J391" s="14" t="n">
        <f aca="false">IFERROR((J390-J389)/J389,0)</f>
        <v>-0.133333333333333</v>
      </c>
      <c r="K391" s="15" t="n">
        <f aca="false">IFERROR((SUM(D390:J390)-SUM(D389:J389))/SUM(D389:J389),0)</f>
        <v>-0.0259999999999999</v>
      </c>
    </row>
    <row r="392" customFormat="false" ht="15" hidden="false" customHeight="true" outlineLevel="0" collapsed="false">
      <c r="A392" s="42" t="s">
        <v>374</v>
      </c>
      <c r="B392" s="43" t="s">
        <v>375</v>
      </c>
      <c r="C392" s="5" t="s">
        <v>26</v>
      </c>
      <c r="D392" s="6" t="n">
        <v>7</v>
      </c>
      <c r="E392" s="6" t="n">
        <v>10</v>
      </c>
      <c r="F392" s="6" t="n">
        <v>9</v>
      </c>
      <c r="G392" s="6" t="n">
        <v>11</v>
      </c>
      <c r="H392" s="6" t="n">
        <v>18</v>
      </c>
      <c r="I392" s="6" t="n">
        <v>27</v>
      </c>
      <c r="J392" s="6" t="n">
        <v>17</v>
      </c>
      <c r="K392" s="7" t="n">
        <f aca="false">SUM(D392:J392)</f>
        <v>99</v>
      </c>
    </row>
    <row r="393" customFormat="false" ht="15" hidden="false" customHeight="false" outlineLevel="0" collapsed="false">
      <c r="A393" s="42"/>
      <c r="B393" s="42"/>
      <c r="C393" s="44" t="s">
        <v>14</v>
      </c>
      <c r="D393" s="9" t="n">
        <v>11.2</v>
      </c>
      <c r="E393" s="9" t="n">
        <v>19.4</v>
      </c>
      <c r="F393" s="9" t="n">
        <v>16.1</v>
      </c>
      <c r="G393" s="9" t="n">
        <v>17.1</v>
      </c>
      <c r="H393" s="9" t="n">
        <v>18.6</v>
      </c>
      <c r="I393" s="9" t="n">
        <v>39.7</v>
      </c>
      <c r="J393" s="9" t="n">
        <v>28.1</v>
      </c>
      <c r="K393" s="10" t="n">
        <f aca="false">SUM(D393:J393)</f>
        <v>150.2</v>
      </c>
    </row>
    <row r="394" customFormat="false" ht="15" hidden="false" customHeight="false" outlineLevel="0" collapsed="false">
      <c r="A394" s="42"/>
      <c r="B394" s="42"/>
      <c r="C394" s="11" t="s">
        <v>41</v>
      </c>
      <c r="D394" s="14" t="n">
        <f aca="false">IFERROR((D393-D392)/D392,0)</f>
        <v>0.6</v>
      </c>
      <c r="E394" s="14" t="n">
        <f aca="false">IFERROR((E393-E392)/E392,0)</f>
        <v>0.94</v>
      </c>
      <c r="F394" s="14" t="n">
        <f aca="false">IFERROR((F393-F392)/F392,0)</f>
        <v>0.788888888888889</v>
      </c>
      <c r="G394" s="14" t="n">
        <f aca="false">IFERROR((G393-G392)/G392,0)</f>
        <v>0.554545454545455</v>
      </c>
      <c r="H394" s="14" t="n">
        <f aca="false">IFERROR((H393-H392)/H392,0)</f>
        <v>0.0333333333333334</v>
      </c>
      <c r="I394" s="14" t="n">
        <f aca="false">IFERROR((I393-I392)/I392,0)</f>
        <v>0.470370370370371</v>
      </c>
      <c r="J394" s="14" t="n">
        <f aca="false">IFERROR((J393-J392)/J392,0)</f>
        <v>0.652941176470588</v>
      </c>
      <c r="K394" s="15" t="n">
        <f aca="false">IFERROR((SUM(D393:J393)-SUM(D392:J392))/SUM(D392:J392),0)</f>
        <v>0.517171717171717</v>
      </c>
    </row>
    <row r="395" customFormat="false" ht="15" hidden="false" customHeight="true" outlineLevel="0" collapsed="false">
      <c r="A395" s="42" t="s">
        <v>376</v>
      </c>
      <c r="B395" s="43" t="s">
        <v>377</v>
      </c>
      <c r="C395" s="5" t="s">
        <v>26</v>
      </c>
      <c r="D395" s="6" t="n">
        <v>9</v>
      </c>
      <c r="E395" s="6" t="n">
        <v>9</v>
      </c>
      <c r="F395" s="6" t="n">
        <v>9</v>
      </c>
      <c r="G395" s="6" t="n">
        <v>10</v>
      </c>
      <c r="H395" s="6" t="n">
        <v>13</v>
      </c>
      <c r="I395" s="6" t="n">
        <v>32</v>
      </c>
      <c r="J395" s="6" t="n">
        <v>13</v>
      </c>
      <c r="K395" s="7" t="n">
        <f aca="false">SUM(D395:J395)</f>
        <v>95</v>
      </c>
    </row>
    <row r="396" customFormat="false" ht="15" hidden="false" customHeight="false" outlineLevel="0" collapsed="false">
      <c r="A396" s="42"/>
      <c r="B396" s="42"/>
      <c r="C396" s="44" t="s">
        <v>14</v>
      </c>
      <c r="D396" s="9" t="n">
        <v>8.2</v>
      </c>
      <c r="E396" s="9" t="n">
        <v>10.8</v>
      </c>
      <c r="F396" s="9" t="n">
        <v>9.4</v>
      </c>
      <c r="G396" s="9" t="n">
        <v>10</v>
      </c>
      <c r="H396" s="9" t="n">
        <v>9.9</v>
      </c>
      <c r="I396" s="9" t="n">
        <v>21.3</v>
      </c>
      <c r="J396" s="9" t="n">
        <v>9.7</v>
      </c>
      <c r="K396" s="10" t="n">
        <f aca="false">SUM(D396:J396)</f>
        <v>79.3</v>
      </c>
    </row>
    <row r="397" customFormat="false" ht="15" hidden="false" customHeight="false" outlineLevel="0" collapsed="false">
      <c r="A397" s="42"/>
      <c r="B397" s="42"/>
      <c r="C397" s="11" t="s">
        <v>41</v>
      </c>
      <c r="D397" s="14" t="n">
        <f aca="false">IFERROR((D396-D395)/D395,0)</f>
        <v>-0.088888888888889</v>
      </c>
      <c r="E397" s="14" t="n">
        <f aca="false">IFERROR((E396-E395)/E395,0)</f>
        <v>0.2</v>
      </c>
      <c r="F397" s="14" t="n">
        <f aca="false">IFERROR((F396-F395)/F395,0)</f>
        <v>0.0444444444444445</v>
      </c>
      <c r="G397" s="14" t="n">
        <f aca="false">IFERROR((G396-G395)/G395,0)</f>
        <v>0</v>
      </c>
      <c r="H397" s="14" t="n">
        <f aca="false">IFERROR((H396-H395)/H395,0)</f>
        <v>-0.238461538461538</v>
      </c>
      <c r="I397" s="14" t="n">
        <f aca="false">IFERROR((I396-I395)/I395,0)</f>
        <v>-0.334375</v>
      </c>
      <c r="J397" s="14" t="n">
        <f aca="false">IFERROR((J396-J395)/J395,0)</f>
        <v>-0.253846153846154</v>
      </c>
      <c r="K397" s="15" t="n">
        <f aca="false">IFERROR((SUM(D396:J396)-SUM(D395:J395))/SUM(D395:J395),0)</f>
        <v>-0.165263157894737</v>
      </c>
    </row>
    <row r="398" customFormat="false" ht="15" hidden="false" customHeight="true" outlineLevel="0" collapsed="false">
      <c r="A398" s="42" t="s">
        <v>378</v>
      </c>
      <c r="B398" s="43" t="s">
        <v>379</v>
      </c>
      <c r="C398" s="5" t="s">
        <v>26</v>
      </c>
      <c r="D398" s="6" t="n">
        <v>4</v>
      </c>
      <c r="E398" s="6" t="n">
        <v>9</v>
      </c>
      <c r="F398" s="6" t="n">
        <v>10</v>
      </c>
      <c r="G398" s="6" t="n">
        <v>18</v>
      </c>
      <c r="H398" s="6" t="n">
        <v>19</v>
      </c>
      <c r="I398" s="6" t="n">
        <v>22</v>
      </c>
      <c r="J398" s="6" t="n">
        <v>12</v>
      </c>
      <c r="K398" s="7" t="n">
        <f aca="false">SUM(D398:J398)</f>
        <v>94</v>
      </c>
    </row>
    <row r="399" customFormat="false" ht="15" hidden="false" customHeight="false" outlineLevel="0" collapsed="false">
      <c r="A399" s="42"/>
      <c r="B399" s="42"/>
      <c r="C399" s="44" t="s">
        <v>14</v>
      </c>
      <c r="D399" s="9" t="n">
        <v>10.1</v>
      </c>
      <c r="E399" s="9" t="n">
        <v>9.4</v>
      </c>
      <c r="F399" s="9" t="n">
        <v>13.6</v>
      </c>
      <c r="G399" s="9" t="n">
        <v>12.3</v>
      </c>
      <c r="H399" s="9" t="n">
        <v>15.8</v>
      </c>
      <c r="I399" s="9" t="n">
        <v>25</v>
      </c>
      <c r="J399" s="9" t="n">
        <v>10.6</v>
      </c>
      <c r="K399" s="10" t="n">
        <f aca="false">SUM(D399:J399)</f>
        <v>96.8</v>
      </c>
    </row>
    <row r="400" customFormat="false" ht="15" hidden="false" customHeight="false" outlineLevel="0" collapsed="false">
      <c r="A400" s="42"/>
      <c r="B400" s="42"/>
      <c r="C400" s="11" t="s">
        <v>41</v>
      </c>
      <c r="D400" s="14" t="n">
        <f aca="false">IFERROR((D399-D398)/D398,0)</f>
        <v>1.525</v>
      </c>
      <c r="E400" s="14" t="n">
        <f aca="false">IFERROR((E399-E398)/E398,0)</f>
        <v>0.0444444444444445</v>
      </c>
      <c r="F400" s="14" t="n">
        <f aca="false">IFERROR((F399-F398)/F398,0)</f>
        <v>0.36</v>
      </c>
      <c r="G400" s="14" t="n">
        <f aca="false">IFERROR((G399-G398)/G398,0)</f>
        <v>-0.316666666666667</v>
      </c>
      <c r="H400" s="14" t="n">
        <f aca="false">IFERROR((H399-H398)/H398,0)</f>
        <v>-0.168421052631579</v>
      </c>
      <c r="I400" s="14" t="n">
        <f aca="false">IFERROR((I399-I398)/I398,0)</f>
        <v>0.136363636363636</v>
      </c>
      <c r="J400" s="14" t="n">
        <f aca="false">IFERROR((J399-J398)/J398,0)</f>
        <v>-0.116666666666667</v>
      </c>
      <c r="K400" s="15" t="n">
        <f aca="false">IFERROR((SUM(D399:J399)-SUM(D398:J398))/SUM(D398:J398),0)</f>
        <v>0.0297872340425532</v>
      </c>
    </row>
    <row r="401" customFormat="false" ht="15" hidden="false" customHeight="true" outlineLevel="0" collapsed="false">
      <c r="A401" s="42" t="s">
        <v>380</v>
      </c>
      <c r="B401" s="43" t="s">
        <v>381</v>
      </c>
      <c r="C401" s="5" t="s">
        <v>26</v>
      </c>
      <c r="D401" s="6" t="n">
        <v>15</v>
      </c>
      <c r="E401" s="6" t="n">
        <v>19</v>
      </c>
      <c r="F401" s="6" t="n">
        <v>5</v>
      </c>
      <c r="G401" s="6" t="n">
        <v>10</v>
      </c>
      <c r="H401" s="6" t="n">
        <v>14</v>
      </c>
      <c r="I401" s="6" t="n">
        <v>21</v>
      </c>
      <c r="J401" s="6" t="n">
        <v>7</v>
      </c>
      <c r="K401" s="7" t="n">
        <f aca="false">SUM(D401:J401)</f>
        <v>91</v>
      </c>
    </row>
    <row r="402" customFormat="false" ht="15" hidden="false" customHeight="false" outlineLevel="0" collapsed="false">
      <c r="A402" s="42"/>
      <c r="B402" s="42"/>
      <c r="C402" s="44" t="s">
        <v>14</v>
      </c>
      <c r="D402" s="9" t="n">
        <v>16.9</v>
      </c>
      <c r="E402" s="9" t="n">
        <v>15.5</v>
      </c>
      <c r="F402" s="9" t="n">
        <v>13.5</v>
      </c>
      <c r="G402" s="9" t="n">
        <v>11.6</v>
      </c>
      <c r="H402" s="9" t="n">
        <v>10.6</v>
      </c>
      <c r="I402" s="9" t="n">
        <v>16.6</v>
      </c>
      <c r="J402" s="9" t="n">
        <v>10.2</v>
      </c>
      <c r="K402" s="10" t="n">
        <f aca="false">SUM(D402:J402)</f>
        <v>94.9</v>
      </c>
    </row>
    <row r="403" customFormat="false" ht="15" hidden="false" customHeight="false" outlineLevel="0" collapsed="false">
      <c r="A403" s="42"/>
      <c r="B403" s="42"/>
      <c r="C403" s="11" t="s">
        <v>41</v>
      </c>
      <c r="D403" s="14" t="n">
        <f aca="false">IFERROR((D402-D401)/D401,0)</f>
        <v>0.126666666666667</v>
      </c>
      <c r="E403" s="14" t="n">
        <f aca="false">IFERROR((E402-E401)/E401,0)</f>
        <v>-0.184210526315789</v>
      </c>
      <c r="F403" s="14" t="n">
        <f aca="false">IFERROR((F402-F401)/F401,0)</f>
        <v>1.7</v>
      </c>
      <c r="G403" s="14" t="n">
        <f aca="false">IFERROR((G402-G401)/G401,0)</f>
        <v>0.16</v>
      </c>
      <c r="H403" s="14" t="n">
        <f aca="false">IFERROR((H402-H401)/H401,0)</f>
        <v>-0.242857142857143</v>
      </c>
      <c r="I403" s="14" t="n">
        <f aca="false">IFERROR((I402-I401)/I401,0)</f>
        <v>-0.209523809523809</v>
      </c>
      <c r="J403" s="14" t="n">
        <f aca="false">IFERROR((J402-J401)/J401,0)</f>
        <v>0.457142857142857</v>
      </c>
      <c r="K403" s="15" t="n">
        <f aca="false">IFERROR((SUM(D402:J402)-SUM(D401:J401))/SUM(D401:J401),0)</f>
        <v>0.0428571428571429</v>
      </c>
    </row>
    <row r="404" customFormat="false" ht="15" hidden="false" customHeight="true" outlineLevel="0" collapsed="false">
      <c r="A404" s="42" t="s">
        <v>382</v>
      </c>
      <c r="B404" s="43" t="s">
        <v>383</v>
      </c>
      <c r="C404" s="5" t="s">
        <v>26</v>
      </c>
      <c r="D404" s="6" t="n">
        <v>19</v>
      </c>
      <c r="E404" s="6" t="n">
        <v>10</v>
      </c>
      <c r="F404" s="6" t="n">
        <v>24</v>
      </c>
      <c r="G404" s="6" t="n">
        <v>17</v>
      </c>
      <c r="H404" s="6" t="n">
        <v>7</v>
      </c>
      <c r="I404" s="6" t="n">
        <v>8</v>
      </c>
      <c r="J404" s="6" t="n">
        <v>2</v>
      </c>
      <c r="K404" s="7" t="n">
        <f aca="false">SUM(D404:J404)</f>
        <v>87</v>
      </c>
    </row>
    <row r="405" customFormat="false" ht="15" hidden="false" customHeight="false" outlineLevel="0" collapsed="false">
      <c r="A405" s="42"/>
      <c r="B405" s="42"/>
      <c r="C405" s="44" t="s">
        <v>14</v>
      </c>
      <c r="D405" s="9" t="n">
        <v>14.7</v>
      </c>
      <c r="E405" s="9" t="n">
        <v>12.2</v>
      </c>
      <c r="F405" s="9" t="n">
        <v>11.6</v>
      </c>
      <c r="G405" s="9" t="n">
        <v>17.8</v>
      </c>
      <c r="H405" s="9" t="n">
        <v>7.2</v>
      </c>
      <c r="I405" s="9" t="n">
        <v>11.2</v>
      </c>
      <c r="J405" s="9" t="n">
        <v>5.2</v>
      </c>
      <c r="K405" s="10" t="n">
        <f aca="false">SUM(D405:J405)</f>
        <v>79.9</v>
      </c>
    </row>
    <row r="406" customFormat="false" ht="15" hidden="false" customHeight="false" outlineLevel="0" collapsed="false">
      <c r="A406" s="42"/>
      <c r="B406" s="42"/>
      <c r="C406" s="11" t="s">
        <v>41</v>
      </c>
      <c r="D406" s="14" t="n">
        <f aca="false">IFERROR((D405-D404)/D404,0)</f>
        <v>-0.226315789473684</v>
      </c>
      <c r="E406" s="14" t="n">
        <f aca="false">IFERROR((E405-E404)/E404,0)</f>
        <v>0.22</v>
      </c>
      <c r="F406" s="14" t="n">
        <f aca="false">IFERROR((F405-F404)/F404,0)</f>
        <v>-0.516666666666667</v>
      </c>
      <c r="G406" s="14" t="n">
        <f aca="false">IFERROR((G405-G404)/G404,0)</f>
        <v>0.0470588235294118</v>
      </c>
      <c r="H406" s="14" t="n">
        <f aca="false">IFERROR((H405-H404)/H404,0)</f>
        <v>0.0285714285714286</v>
      </c>
      <c r="I406" s="14" t="n">
        <f aca="false">IFERROR((I405-I404)/I404,0)</f>
        <v>0.4</v>
      </c>
      <c r="J406" s="14" t="n">
        <f aca="false">IFERROR((J405-J404)/J404,0)</f>
        <v>1.6</v>
      </c>
      <c r="K406" s="15" t="n">
        <f aca="false">IFERROR((SUM(D405:J405)-SUM(D404:J404))/SUM(D404:J404),0)</f>
        <v>-0.0816091954022988</v>
      </c>
    </row>
    <row r="407" customFormat="false" ht="15" hidden="false" customHeight="true" outlineLevel="0" collapsed="false">
      <c r="A407" s="42" t="s">
        <v>384</v>
      </c>
      <c r="B407" s="43" t="s">
        <v>385</v>
      </c>
      <c r="C407" s="5" t="s">
        <v>26</v>
      </c>
      <c r="D407" s="6" t="n">
        <v>7</v>
      </c>
      <c r="E407" s="6" t="n">
        <v>7</v>
      </c>
      <c r="F407" s="6" t="n">
        <v>10</v>
      </c>
      <c r="G407" s="6" t="n">
        <v>12</v>
      </c>
      <c r="H407" s="6" t="n">
        <v>8</v>
      </c>
      <c r="I407" s="6" t="n">
        <v>29</v>
      </c>
      <c r="J407" s="6" t="n">
        <v>14</v>
      </c>
      <c r="K407" s="7" t="n">
        <f aca="false">SUM(D407:J407)</f>
        <v>87</v>
      </c>
    </row>
    <row r="408" customFormat="false" ht="15" hidden="false" customHeight="false" outlineLevel="0" collapsed="false">
      <c r="A408" s="42"/>
      <c r="B408" s="42"/>
      <c r="C408" s="44" t="s">
        <v>14</v>
      </c>
      <c r="D408" s="9" t="n">
        <v>11.6</v>
      </c>
      <c r="E408" s="9" t="n">
        <v>15.4</v>
      </c>
      <c r="F408" s="9" t="n">
        <v>13.8</v>
      </c>
      <c r="G408" s="9" t="n">
        <v>16.4</v>
      </c>
      <c r="H408" s="9" t="n">
        <v>16.2</v>
      </c>
      <c r="I408" s="9" t="n">
        <v>37.8</v>
      </c>
      <c r="J408" s="9" t="n">
        <v>29.9</v>
      </c>
      <c r="K408" s="10" t="n">
        <f aca="false">SUM(D408:J408)</f>
        <v>141.1</v>
      </c>
    </row>
    <row r="409" customFormat="false" ht="15" hidden="false" customHeight="false" outlineLevel="0" collapsed="false">
      <c r="A409" s="42"/>
      <c r="B409" s="42"/>
      <c r="C409" s="11" t="s">
        <v>41</v>
      </c>
      <c r="D409" s="14" t="n">
        <f aca="false">IFERROR((D408-D407)/D407,0)</f>
        <v>0.657142857142857</v>
      </c>
      <c r="E409" s="14" t="n">
        <f aca="false">IFERROR((E408-E407)/E407,0)</f>
        <v>1.2</v>
      </c>
      <c r="F409" s="14" t="n">
        <f aca="false">IFERROR((F408-F407)/F407,0)</f>
        <v>0.38</v>
      </c>
      <c r="G409" s="14" t="n">
        <f aca="false">IFERROR((G408-G407)/G407,0)</f>
        <v>0.366666666666667</v>
      </c>
      <c r="H409" s="14" t="n">
        <f aca="false">IFERROR((H408-H407)/H407,0)</f>
        <v>1.025</v>
      </c>
      <c r="I409" s="14" t="n">
        <f aca="false">IFERROR((I408-I407)/I407,0)</f>
        <v>0.303448275862069</v>
      </c>
      <c r="J409" s="14" t="n">
        <f aca="false">IFERROR((J408-J407)/J407,0)</f>
        <v>1.13571428571429</v>
      </c>
      <c r="K409" s="15" t="n">
        <f aca="false">IFERROR((SUM(D408:J408)-SUM(D407:J407))/SUM(D407:J407),0)</f>
        <v>0.62183908045977</v>
      </c>
    </row>
    <row r="410" customFormat="false" ht="15" hidden="false" customHeight="true" outlineLevel="0" collapsed="false">
      <c r="A410" s="42" t="s">
        <v>386</v>
      </c>
      <c r="B410" s="43" t="s">
        <v>387</v>
      </c>
      <c r="C410" s="5" t="s">
        <v>26</v>
      </c>
      <c r="D410" s="6" t="n">
        <v>7</v>
      </c>
      <c r="E410" s="6" t="n">
        <v>10</v>
      </c>
      <c r="F410" s="6" t="n">
        <v>8</v>
      </c>
      <c r="G410" s="6" t="n">
        <v>20</v>
      </c>
      <c r="H410" s="6" t="n">
        <v>10</v>
      </c>
      <c r="I410" s="6" t="n">
        <v>16</v>
      </c>
      <c r="J410" s="6" t="n">
        <v>15</v>
      </c>
      <c r="K410" s="7" t="n">
        <f aca="false">SUM(D410:J410)</f>
        <v>86</v>
      </c>
    </row>
    <row r="411" customFormat="false" ht="15" hidden="false" customHeight="false" outlineLevel="0" collapsed="false">
      <c r="A411" s="42"/>
      <c r="B411" s="42"/>
      <c r="C411" s="44" t="s">
        <v>14</v>
      </c>
      <c r="D411" s="9" t="n">
        <v>9.4</v>
      </c>
      <c r="E411" s="9" t="n">
        <v>10.2</v>
      </c>
      <c r="F411" s="9" t="n">
        <v>11</v>
      </c>
      <c r="G411" s="9" t="n">
        <v>12.6</v>
      </c>
      <c r="H411" s="9" t="n">
        <v>8.6</v>
      </c>
      <c r="I411" s="9" t="n">
        <v>18.7</v>
      </c>
      <c r="J411" s="9" t="n">
        <v>23.3</v>
      </c>
      <c r="K411" s="10" t="n">
        <f aca="false">SUM(D411:J411)</f>
        <v>93.8</v>
      </c>
    </row>
    <row r="412" customFormat="false" ht="15" hidden="false" customHeight="false" outlineLevel="0" collapsed="false">
      <c r="A412" s="42"/>
      <c r="B412" s="42"/>
      <c r="C412" s="11" t="s">
        <v>41</v>
      </c>
      <c r="D412" s="14" t="n">
        <f aca="false">IFERROR((D411-D410)/D410,0)</f>
        <v>0.342857142857143</v>
      </c>
      <c r="E412" s="14" t="n">
        <f aca="false">IFERROR((E411-E410)/E410,0)</f>
        <v>0.0199999999999999</v>
      </c>
      <c r="F412" s="14" t="n">
        <f aca="false">IFERROR((F411-F410)/F410,0)</f>
        <v>0.375</v>
      </c>
      <c r="G412" s="14" t="n">
        <f aca="false">IFERROR((G411-G410)/G410,0)</f>
        <v>-0.37</v>
      </c>
      <c r="H412" s="14" t="n">
        <f aca="false">IFERROR((H411-H410)/H410,0)</f>
        <v>-0.14</v>
      </c>
      <c r="I412" s="14" t="n">
        <f aca="false">IFERROR((I411-I410)/I410,0)</f>
        <v>0.16875</v>
      </c>
      <c r="J412" s="14" t="n">
        <f aca="false">IFERROR((J411-J410)/J410,0)</f>
        <v>0.553333333333333</v>
      </c>
      <c r="K412" s="15" t="n">
        <f aca="false">IFERROR((SUM(D411:J411)-SUM(D410:J410))/SUM(D410:J410),0)</f>
        <v>0.0906976744186046</v>
      </c>
    </row>
    <row r="413" customFormat="false" ht="15" hidden="false" customHeight="true" outlineLevel="0" collapsed="false">
      <c r="A413" s="42" t="s">
        <v>388</v>
      </c>
      <c r="B413" s="43" t="s">
        <v>389</v>
      </c>
      <c r="C413" s="5" t="s">
        <v>26</v>
      </c>
      <c r="D413" s="6" t="n">
        <v>12</v>
      </c>
      <c r="E413" s="6" t="n">
        <v>8</v>
      </c>
      <c r="F413" s="6" t="n">
        <v>7</v>
      </c>
      <c r="G413" s="6" t="n">
        <v>24</v>
      </c>
      <c r="H413" s="6" t="n">
        <v>12</v>
      </c>
      <c r="I413" s="6" t="n">
        <v>15</v>
      </c>
      <c r="J413" s="6" t="n">
        <v>7</v>
      </c>
      <c r="K413" s="7" t="n">
        <f aca="false">SUM(D413:J413)</f>
        <v>85</v>
      </c>
    </row>
    <row r="414" customFormat="false" ht="15" hidden="false" customHeight="false" outlineLevel="0" collapsed="false">
      <c r="A414" s="42"/>
      <c r="B414" s="42"/>
      <c r="C414" s="44" t="s">
        <v>14</v>
      </c>
      <c r="D414" s="9" t="n">
        <v>10.9</v>
      </c>
      <c r="E414" s="9" t="n">
        <v>11.3</v>
      </c>
      <c r="F414" s="9" t="n">
        <v>9.8</v>
      </c>
      <c r="G414" s="9" t="n">
        <v>11.8</v>
      </c>
      <c r="H414" s="9" t="n">
        <v>13.6</v>
      </c>
      <c r="I414" s="9" t="n">
        <v>18.4</v>
      </c>
      <c r="J414" s="9" t="n">
        <v>11.3</v>
      </c>
      <c r="K414" s="10" t="n">
        <f aca="false">SUM(D414:J414)</f>
        <v>87.1</v>
      </c>
    </row>
    <row r="415" customFormat="false" ht="15" hidden="false" customHeight="false" outlineLevel="0" collapsed="false">
      <c r="A415" s="42"/>
      <c r="B415" s="42"/>
      <c r="C415" s="11" t="s">
        <v>41</v>
      </c>
      <c r="D415" s="14" t="n">
        <f aca="false">IFERROR((D414-D413)/D413,0)</f>
        <v>-0.0916666666666666</v>
      </c>
      <c r="E415" s="14" t="n">
        <f aca="false">IFERROR((E414-E413)/E413,0)</f>
        <v>0.4125</v>
      </c>
      <c r="F415" s="14" t="n">
        <f aca="false">IFERROR((F414-F413)/F413,0)</f>
        <v>0.4</v>
      </c>
      <c r="G415" s="14" t="n">
        <f aca="false">IFERROR((G414-G413)/G413,0)</f>
        <v>-0.508333333333333</v>
      </c>
      <c r="H415" s="14" t="n">
        <f aca="false">IFERROR((H414-H413)/H413,0)</f>
        <v>0.133333333333333</v>
      </c>
      <c r="I415" s="14" t="n">
        <f aca="false">IFERROR((I414-I413)/I413,0)</f>
        <v>0.226666666666667</v>
      </c>
      <c r="J415" s="14" t="n">
        <f aca="false">IFERROR((J414-J413)/J413,0)</f>
        <v>0.614285714285714</v>
      </c>
      <c r="K415" s="15" t="n">
        <f aca="false">IFERROR((SUM(D414:J414)-SUM(D413:J413))/SUM(D413:J413),0)</f>
        <v>0.0247058823529411</v>
      </c>
    </row>
    <row r="416" customFormat="false" ht="15" hidden="false" customHeight="true" outlineLevel="0" collapsed="false">
      <c r="A416" s="42" t="s">
        <v>390</v>
      </c>
      <c r="B416" s="43" t="s">
        <v>288</v>
      </c>
      <c r="C416" s="5" t="s">
        <v>26</v>
      </c>
      <c r="D416" s="6" t="n">
        <v>11</v>
      </c>
      <c r="E416" s="6" t="n">
        <v>15</v>
      </c>
      <c r="F416" s="6" t="n">
        <v>2</v>
      </c>
      <c r="G416" s="6" t="n">
        <v>9</v>
      </c>
      <c r="H416" s="6" t="n">
        <v>7</v>
      </c>
      <c r="I416" s="6" t="n">
        <v>26</v>
      </c>
      <c r="J416" s="6" t="n">
        <v>11</v>
      </c>
      <c r="K416" s="7" t="n">
        <f aca="false">SUM(D416:J416)</f>
        <v>81</v>
      </c>
    </row>
    <row r="417" customFormat="false" ht="15" hidden="false" customHeight="false" outlineLevel="0" collapsed="false">
      <c r="A417" s="42"/>
      <c r="B417" s="42"/>
      <c r="C417" s="44" t="s">
        <v>14</v>
      </c>
      <c r="D417" s="9" t="n">
        <v>7.6</v>
      </c>
      <c r="E417" s="9" t="n">
        <v>13.7</v>
      </c>
      <c r="F417" s="9" t="n">
        <v>10.9</v>
      </c>
      <c r="G417" s="9" t="n">
        <v>9.6</v>
      </c>
      <c r="H417" s="9" t="n">
        <v>9.7</v>
      </c>
      <c r="I417" s="9" t="n">
        <v>23.4</v>
      </c>
      <c r="J417" s="9" t="n">
        <v>19.7</v>
      </c>
      <c r="K417" s="10" t="n">
        <f aca="false">SUM(D417:J417)</f>
        <v>94.6</v>
      </c>
    </row>
    <row r="418" customFormat="false" ht="15" hidden="false" customHeight="false" outlineLevel="0" collapsed="false">
      <c r="A418" s="42"/>
      <c r="B418" s="42"/>
      <c r="C418" s="11" t="s">
        <v>41</v>
      </c>
      <c r="D418" s="14" t="n">
        <f aca="false">IFERROR((D417-D416)/D416,0)</f>
        <v>-0.309090909090909</v>
      </c>
      <c r="E418" s="14" t="n">
        <f aca="false">IFERROR((E417-E416)/E416,0)</f>
        <v>-0.0866666666666667</v>
      </c>
      <c r="F418" s="14" t="n">
        <f aca="false">IFERROR((F417-F416)/F416,0)</f>
        <v>4.45</v>
      </c>
      <c r="G418" s="14" t="n">
        <f aca="false">IFERROR((G417-G416)/G416,0)</f>
        <v>0.0666666666666666</v>
      </c>
      <c r="H418" s="14" t="n">
        <f aca="false">IFERROR((H417-H416)/H416,0)</f>
        <v>0.385714285714286</v>
      </c>
      <c r="I418" s="14" t="n">
        <f aca="false">IFERROR((I417-I416)/I416,0)</f>
        <v>-0.1</v>
      </c>
      <c r="J418" s="14" t="n">
        <f aca="false">IFERROR((J417-J416)/J416,0)</f>
        <v>0.790909090909091</v>
      </c>
      <c r="K418" s="15" t="n">
        <f aca="false">IFERROR((SUM(D417:J417)-SUM(D416:J416))/SUM(D416:J416),0)</f>
        <v>0.167901234567901</v>
      </c>
    </row>
    <row r="419" customFormat="false" ht="15" hidden="false" customHeight="true" outlineLevel="0" collapsed="false">
      <c r="A419" s="42" t="s">
        <v>391</v>
      </c>
      <c r="B419" s="43" t="s">
        <v>392</v>
      </c>
      <c r="C419" s="5" t="s">
        <v>26</v>
      </c>
      <c r="D419" s="6" t="n">
        <v>7</v>
      </c>
      <c r="E419" s="6" t="n">
        <v>10</v>
      </c>
      <c r="F419" s="6" t="n">
        <v>3</v>
      </c>
      <c r="G419" s="6" t="n">
        <v>6</v>
      </c>
      <c r="H419" s="6" t="n">
        <v>13</v>
      </c>
      <c r="I419" s="6" t="n">
        <v>31</v>
      </c>
      <c r="J419" s="6" t="n">
        <v>8</v>
      </c>
      <c r="K419" s="7" t="n">
        <f aca="false">SUM(D419:J419)</f>
        <v>78</v>
      </c>
    </row>
    <row r="420" customFormat="false" ht="15" hidden="false" customHeight="false" outlineLevel="0" collapsed="false">
      <c r="A420" s="42"/>
      <c r="B420" s="42"/>
      <c r="C420" s="44" t="s">
        <v>14</v>
      </c>
      <c r="D420" s="9" t="n">
        <v>6.3</v>
      </c>
      <c r="E420" s="9" t="n">
        <v>7.3</v>
      </c>
      <c r="F420" s="9" t="n">
        <v>6.4</v>
      </c>
      <c r="G420" s="9" t="n">
        <v>5.2</v>
      </c>
      <c r="H420" s="9" t="n">
        <v>7.1</v>
      </c>
      <c r="I420" s="9" t="n">
        <v>20.1</v>
      </c>
      <c r="J420" s="9" t="n">
        <v>9.9</v>
      </c>
      <c r="K420" s="10" t="n">
        <f aca="false">SUM(D420:J420)</f>
        <v>62.3</v>
      </c>
    </row>
    <row r="421" customFormat="false" ht="15" hidden="false" customHeight="false" outlineLevel="0" collapsed="false">
      <c r="A421" s="42"/>
      <c r="B421" s="42"/>
      <c r="C421" s="11" t="s">
        <v>41</v>
      </c>
      <c r="D421" s="14" t="n">
        <f aca="false">IFERROR((D420-D419)/D419,0)</f>
        <v>-0.1</v>
      </c>
      <c r="E421" s="14" t="n">
        <f aca="false">IFERROR((E420-E419)/E419,0)</f>
        <v>-0.27</v>
      </c>
      <c r="F421" s="14" t="n">
        <f aca="false">IFERROR((F420-F419)/F419,0)</f>
        <v>1.13333333333333</v>
      </c>
      <c r="G421" s="14" t="n">
        <f aca="false">IFERROR((G420-G419)/G419,0)</f>
        <v>-0.133333333333333</v>
      </c>
      <c r="H421" s="14" t="n">
        <f aca="false">IFERROR((H420-H419)/H419,0)</f>
        <v>-0.453846153846154</v>
      </c>
      <c r="I421" s="14" t="n">
        <f aca="false">IFERROR((I420-I419)/I419,0)</f>
        <v>-0.351612903225806</v>
      </c>
      <c r="J421" s="14" t="n">
        <f aca="false">IFERROR((J420-J419)/J419,0)</f>
        <v>0.2375</v>
      </c>
      <c r="K421" s="15" t="n">
        <f aca="false">IFERROR((SUM(D420:J420)-SUM(D419:J419))/SUM(D419:J419),0)</f>
        <v>-0.201282051282051</v>
      </c>
    </row>
    <row r="422" customFormat="false" ht="15" hidden="false" customHeight="true" outlineLevel="0" collapsed="false">
      <c r="A422" s="42" t="s">
        <v>393</v>
      </c>
      <c r="B422" s="43" t="s">
        <v>394</v>
      </c>
      <c r="C422" s="5" t="s">
        <v>26</v>
      </c>
      <c r="D422" s="6" t="n">
        <v>16</v>
      </c>
      <c r="E422" s="6" t="n">
        <v>15</v>
      </c>
      <c r="F422" s="6" t="n">
        <v>23</v>
      </c>
      <c r="G422" s="6" t="n">
        <v>15</v>
      </c>
      <c r="H422" s="6" t="n">
        <v>2</v>
      </c>
      <c r="I422" s="6" t="n">
        <v>5</v>
      </c>
      <c r="J422" s="6" t="n">
        <v>1</v>
      </c>
      <c r="K422" s="7" t="n">
        <f aca="false">SUM(D422:J422)</f>
        <v>77</v>
      </c>
    </row>
    <row r="423" customFormat="false" ht="15" hidden="false" customHeight="false" outlineLevel="0" collapsed="false">
      <c r="A423" s="42"/>
      <c r="B423" s="42"/>
      <c r="C423" s="44" t="s">
        <v>14</v>
      </c>
      <c r="D423" s="9" t="n">
        <v>16.9</v>
      </c>
      <c r="E423" s="9" t="n">
        <v>13.7</v>
      </c>
      <c r="F423" s="9" t="n">
        <v>13.6</v>
      </c>
      <c r="G423" s="9" t="n">
        <v>14.1</v>
      </c>
      <c r="H423" s="9" t="n">
        <v>5.2</v>
      </c>
      <c r="I423" s="9" t="n">
        <v>6.2</v>
      </c>
      <c r="J423" s="9" t="n">
        <v>4.1</v>
      </c>
      <c r="K423" s="10" t="n">
        <f aca="false">SUM(D423:J423)</f>
        <v>73.8</v>
      </c>
    </row>
    <row r="424" customFormat="false" ht="15" hidden="false" customHeight="false" outlineLevel="0" collapsed="false">
      <c r="A424" s="42"/>
      <c r="B424" s="42"/>
      <c r="C424" s="11" t="s">
        <v>41</v>
      </c>
      <c r="D424" s="14" t="n">
        <f aca="false">IFERROR((D423-D422)/D422,0)</f>
        <v>0.0562499999999999</v>
      </c>
      <c r="E424" s="14" t="n">
        <f aca="false">IFERROR((E423-E422)/E422,0)</f>
        <v>-0.0866666666666667</v>
      </c>
      <c r="F424" s="14" t="n">
        <f aca="false">IFERROR((F423-F422)/F422,0)</f>
        <v>-0.408695652173913</v>
      </c>
      <c r="G424" s="14" t="n">
        <f aca="false">IFERROR((G423-G422)/G422,0)</f>
        <v>-0.06</v>
      </c>
      <c r="H424" s="14" t="n">
        <f aca="false">IFERROR((H423-H422)/H422,0)</f>
        <v>1.6</v>
      </c>
      <c r="I424" s="14" t="n">
        <f aca="false">IFERROR((I423-I422)/I422,0)</f>
        <v>0.24</v>
      </c>
      <c r="J424" s="14" t="n">
        <f aca="false">IFERROR((J423-J422)/J422,0)</f>
        <v>3.1</v>
      </c>
      <c r="K424" s="15" t="n">
        <f aca="false">IFERROR((SUM(D423:J423)-SUM(D422:J422))/SUM(D422:J422),0)</f>
        <v>-0.0415584415584416</v>
      </c>
    </row>
    <row r="425" customFormat="false" ht="15" hidden="false" customHeight="true" outlineLevel="0" collapsed="false">
      <c r="A425" s="42" t="s">
        <v>395</v>
      </c>
      <c r="B425" s="43" t="s">
        <v>396</v>
      </c>
      <c r="C425" s="5" t="s">
        <v>26</v>
      </c>
      <c r="D425" s="6" t="n">
        <v>4</v>
      </c>
      <c r="E425" s="6" t="n">
        <v>7</v>
      </c>
      <c r="F425" s="6" t="n">
        <v>7</v>
      </c>
      <c r="G425" s="6" t="n">
        <v>10</v>
      </c>
      <c r="H425" s="6" t="n">
        <v>9</v>
      </c>
      <c r="I425" s="6" t="n">
        <v>30</v>
      </c>
      <c r="J425" s="6" t="n">
        <v>10</v>
      </c>
      <c r="K425" s="7" t="n">
        <f aca="false">SUM(D425:J425)</f>
        <v>77</v>
      </c>
    </row>
    <row r="426" customFormat="false" ht="15" hidden="false" customHeight="false" outlineLevel="0" collapsed="false">
      <c r="A426" s="42"/>
      <c r="B426" s="42"/>
      <c r="C426" s="44" t="s">
        <v>14</v>
      </c>
      <c r="D426" s="9" t="n">
        <v>6.1</v>
      </c>
      <c r="E426" s="9" t="n">
        <v>7.6</v>
      </c>
      <c r="F426" s="9" t="n">
        <v>6</v>
      </c>
      <c r="G426" s="9" t="n">
        <v>6.5</v>
      </c>
      <c r="H426" s="9" t="n">
        <v>8.1</v>
      </c>
      <c r="I426" s="9" t="n">
        <v>23.6</v>
      </c>
      <c r="J426" s="9" t="n">
        <v>13.1</v>
      </c>
      <c r="K426" s="10" t="n">
        <f aca="false">SUM(D426:J426)</f>
        <v>71</v>
      </c>
    </row>
    <row r="427" customFormat="false" ht="15" hidden="false" customHeight="false" outlineLevel="0" collapsed="false">
      <c r="A427" s="42"/>
      <c r="B427" s="42"/>
      <c r="C427" s="11" t="s">
        <v>41</v>
      </c>
      <c r="D427" s="14" t="n">
        <f aca="false">IFERROR((D426-D425)/D425,0)</f>
        <v>0.525</v>
      </c>
      <c r="E427" s="14" t="n">
        <f aca="false">IFERROR((E426-E425)/E425,0)</f>
        <v>0.0857142857142857</v>
      </c>
      <c r="F427" s="14" t="n">
        <f aca="false">IFERROR((F426-F425)/F425,0)</f>
        <v>-0.142857142857143</v>
      </c>
      <c r="G427" s="14" t="n">
        <f aca="false">IFERROR((G426-G425)/G425,0)</f>
        <v>-0.35</v>
      </c>
      <c r="H427" s="14" t="n">
        <f aca="false">IFERROR((H426-H425)/H425,0)</f>
        <v>-0.1</v>
      </c>
      <c r="I427" s="14" t="n">
        <f aca="false">IFERROR((I426-I425)/I425,0)</f>
        <v>-0.213333333333333</v>
      </c>
      <c r="J427" s="14" t="n">
        <f aca="false">IFERROR((J426-J425)/J425,0)</f>
        <v>0.31</v>
      </c>
      <c r="K427" s="15" t="n">
        <f aca="false">IFERROR((SUM(D426:J426)-SUM(D425:J425))/SUM(D425:J425),0)</f>
        <v>-0.0779220779220779</v>
      </c>
    </row>
    <row r="428" customFormat="false" ht="15" hidden="false" customHeight="true" outlineLevel="0" collapsed="false">
      <c r="A428" s="42" t="s">
        <v>397</v>
      </c>
      <c r="B428" s="43" t="s">
        <v>398</v>
      </c>
      <c r="C428" s="5" t="s">
        <v>26</v>
      </c>
      <c r="D428" s="6" t="n">
        <v>11</v>
      </c>
      <c r="E428" s="6" t="n">
        <v>7</v>
      </c>
      <c r="F428" s="6" t="n">
        <v>7</v>
      </c>
      <c r="G428" s="6" t="n">
        <v>13</v>
      </c>
      <c r="H428" s="6" t="n">
        <v>5</v>
      </c>
      <c r="I428" s="6" t="n">
        <v>20</v>
      </c>
      <c r="J428" s="6" t="n">
        <v>12</v>
      </c>
      <c r="K428" s="7" t="n">
        <f aca="false">SUM(D428:J428)</f>
        <v>75</v>
      </c>
    </row>
    <row r="429" customFormat="false" ht="15" hidden="false" customHeight="false" outlineLevel="0" collapsed="false">
      <c r="A429" s="42"/>
      <c r="B429" s="42"/>
      <c r="C429" s="44" t="s">
        <v>14</v>
      </c>
      <c r="D429" s="9" t="n">
        <v>11.9</v>
      </c>
      <c r="E429" s="9" t="n">
        <v>14</v>
      </c>
      <c r="F429" s="9" t="n">
        <v>12.4</v>
      </c>
      <c r="G429" s="9" t="n">
        <v>13.9</v>
      </c>
      <c r="H429" s="9" t="n">
        <v>14</v>
      </c>
      <c r="I429" s="9" t="n">
        <v>18.8</v>
      </c>
      <c r="J429" s="9" t="n">
        <v>14.5</v>
      </c>
      <c r="K429" s="10" t="n">
        <f aca="false">SUM(D429:J429)</f>
        <v>99.5</v>
      </c>
    </row>
    <row r="430" customFormat="false" ht="15" hidden="false" customHeight="false" outlineLevel="0" collapsed="false">
      <c r="A430" s="42"/>
      <c r="B430" s="42"/>
      <c r="C430" s="11" t="s">
        <v>41</v>
      </c>
      <c r="D430" s="14" t="n">
        <f aca="false">IFERROR((D429-D428)/D428,0)</f>
        <v>0.0818181818181819</v>
      </c>
      <c r="E430" s="14" t="n">
        <f aca="false">IFERROR((E429-E428)/E428,0)</f>
        <v>1</v>
      </c>
      <c r="F430" s="14" t="n">
        <f aca="false">IFERROR((F429-F428)/F428,0)</f>
        <v>0.771428571428572</v>
      </c>
      <c r="G430" s="14" t="n">
        <f aca="false">IFERROR((G429-G428)/G428,0)</f>
        <v>0.0692307692307693</v>
      </c>
      <c r="H430" s="14" t="n">
        <f aca="false">IFERROR((H429-H428)/H428,0)</f>
        <v>1.8</v>
      </c>
      <c r="I430" s="14" t="n">
        <f aca="false">IFERROR((I429-I428)/I428,0)</f>
        <v>-0.06</v>
      </c>
      <c r="J430" s="14" t="n">
        <f aca="false">IFERROR((J429-J428)/J428,0)</f>
        <v>0.208333333333333</v>
      </c>
      <c r="K430" s="15" t="n">
        <f aca="false">IFERROR((SUM(D429:J429)-SUM(D428:J428))/SUM(D428:J428),0)</f>
        <v>0.326666666666667</v>
      </c>
    </row>
    <row r="431" customFormat="false" ht="15" hidden="false" customHeight="true" outlineLevel="0" collapsed="false">
      <c r="A431" s="42" t="s">
        <v>399</v>
      </c>
      <c r="B431" s="43" t="s">
        <v>400</v>
      </c>
      <c r="C431" s="5" t="s">
        <v>26</v>
      </c>
      <c r="D431" s="6" t="n">
        <v>3</v>
      </c>
      <c r="E431" s="6" t="n">
        <v>2</v>
      </c>
      <c r="F431" s="6" t="n">
        <v>6</v>
      </c>
      <c r="G431" s="6" t="n">
        <v>9</v>
      </c>
      <c r="H431" s="6" t="n">
        <v>7</v>
      </c>
      <c r="I431" s="6" t="n">
        <v>30</v>
      </c>
      <c r="J431" s="6" t="n">
        <v>12</v>
      </c>
      <c r="K431" s="7" t="n">
        <f aca="false">SUM(D431:J431)</f>
        <v>69</v>
      </c>
    </row>
    <row r="432" customFormat="false" ht="15" hidden="false" customHeight="false" outlineLevel="0" collapsed="false">
      <c r="A432" s="42"/>
      <c r="B432" s="42"/>
      <c r="C432" s="44" t="s">
        <v>14</v>
      </c>
      <c r="D432" s="9" t="n">
        <v>6.9</v>
      </c>
      <c r="E432" s="9" t="n">
        <v>7.1</v>
      </c>
      <c r="F432" s="9" t="n">
        <v>7.3</v>
      </c>
      <c r="G432" s="9" t="n">
        <v>12.2</v>
      </c>
      <c r="H432" s="9" t="n">
        <v>13.8</v>
      </c>
      <c r="I432" s="9" t="n">
        <v>25.3</v>
      </c>
      <c r="J432" s="9" t="n">
        <v>21.8</v>
      </c>
      <c r="K432" s="10" t="n">
        <f aca="false">SUM(D432:J432)</f>
        <v>94.4</v>
      </c>
    </row>
    <row r="433" customFormat="false" ht="15" hidden="false" customHeight="false" outlineLevel="0" collapsed="false">
      <c r="A433" s="42"/>
      <c r="B433" s="42"/>
      <c r="C433" s="11" t="s">
        <v>41</v>
      </c>
      <c r="D433" s="14" t="n">
        <f aca="false">IFERROR((D432-D431)/D431,0)</f>
        <v>1.3</v>
      </c>
      <c r="E433" s="14" t="n">
        <f aca="false">IFERROR((E432-E431)/E431,0)</f>
        <v>2.55</v>
      </c>
      <c r="F433" s="14" t="n">
        <f aca="false">IFERROR((F432-F431)/F431,0)</f>
        <v>0.216666666666667</v>
      </c>
      <c r="G433" s="14" t="n">
        <f aca="false">IFERROR((G432-G431)/G431,0)</f>
        <v>0.355555555555555</v>
      </c>
      <c r="H433" s="14" t="n">
        <f aca="false">IFERROR((H432-H431)/H431,0)</f>
        <v>0.971428571428572</v>
      </c>
      <c r="I433" s="14" t="n">
        <f aca="false">IFERROR((I432-I431)/I431,0)</f>
        <v>-0.156666666666667</v>
      </c>
      <c r="J433" s="14" t="n">
        <f aca="false">IFERROR((J432-J431)/J431,0)</f>
        <v>0.816666666666667</v>
      </c>
      <c r="K433" s="15" t="n">
        <f aca="false">IFERROR((SUM(D432:J432)-SUM(D431:J431))/SUM(D431:J431),0)</f>
        <v>0.368115942028985</v>
      </c>
    </row>
    <row r="434" customFormat="false" ht="15" hidden="false" customHeight="true" outlineLevel="0" collapsed="false">
      <c r="A434" s="42" t="s">
        <v>401</v>
      </c>
      <c r="B434" s="43" t="s">
        <v>402</v>
      </c>
      <c r="C434" s="5" t="s">
        <v>26</v>
      </c>
      <c r="D434" s="6" t="n">
        <v>4</v>
      </c>
      <c r="E434" s="6" t="n">
        <v>8</v>
      </c>
      <c r="F434" s="6" t="n">
        <v>3</v>
      </c>
      <c r="G434" s="6" t="n">
        <v>6</v>
      </c>
      <c r="H434" s="6" t="n">
        <v>10</v>
      </c>
      <c r="I434" s="6" t="n">
        <v>23</v>
      </c>
      <c r="J434" s="6" t="n">
        <v>12</v>
      </c>
      <c r="K434" s="7" t="n">
        <f aca="false">SUM(D434:J434)</f>
        <v>66</v>
      </c>
    </row>
    <row r="435" customFormat="false" ht="15" hidden="false" customHeight="false" outlineLevel="0" collapsed="false">
      <c r="A435" s="42"/>
      <c r="B435" s="42"/>
      <c r="C435" s="44" t="s">
        <v>14</v>
      </c>
      <c r="D435" s="9" t="n">
        <v>6.6</v>
      </c>
      <c r="E435" s="9" t="n">
        <v>6.1</v>
      </c>
      <c r="F435" s="9" t="n">
        <v>6.6</v>
      </c>
      <c r="G435" s="9" t="n">
        <v>5.8</v>
      </c>
      <c r="H435" s="9" t="n">
        <v>8</v>
      </c>
      <c r="I435" s="9" t="n">
        <v>14.6</v>
      </c>
      <c r="J435" s="9" t="n">
        <v>13.6</v>
      </c>
      <c r="K435" s="10" t="n">
        <f aca="false">SUM(D435:J435)</f>
        <v>61.3</v>
      </c>
    </row>
    <row r="436" customFormat="false" ht="15" hidden="false" customHeight="false" outlineLevel="0" collapsed="false">
      <c r="A436" s="42"/>
      <c r="B436" s="42"/>
      <c r="C436" s="11" t="s">
        <v>41</v>
      </c>
      <c r="D436" s="14" t="n">
        <f aca="false">IFERROR((D435-D434)/D434,0)</f>
        <v>0.65</v>
      </c>
      <c r="E436" s="14" t="n">
        <f aca="false">IFERROR((E435-E434)/E434,0)</f>
        <v>-0.2375</v>
      </c>
      <c r="F436" s="14" t="n">
        <f aca="false">IFERROR((F435-F434)/F434,0)</f>
        <v>1.2</v>
      </c>
      <c r="G436" s="14" t="n">
        <f aca="false">IFERROR((G435-G434)/G434,0)</f>
        <v>-0.0333333333333334</v>
      </c>
      <c r="H436" s="14" t="n">
        <f aca="false">IFERROR((H435-H434)/H434,0)</f>
        <v>-0.2</v>
      </c>
      <c r="I436" s="14" t="n">
        <f aca="false">IFERROR((I435-I434)/I434,0)</f>
        <v>-0.365217391304348</v>
      </c>
      <c r="J436" s="14" t="n">
        <f aca="false">IFERROR((J435-J434)/J434,0)</f>
        <v>0.133333333333333</v>
      </c>
      <c r="K436" s="15" t="n">
        <f aca="false">IFERROR((SUM(D435:J435)-SUM(D434:J434))/SUM(D434:J434),0)</f>
        <v>-0.0712121212121213</v>
      </c>
    </row>
    <row r="437" customFormat="false" ht="15" hidden="false" customHeight="true" outlineLevel="0" collapsed="false">
      <c r="A437" s="42" t="s">
        <v>403</v>
      </c>
      <c r="B437" s="43" t="s">
        <v>404</v>
      </c>
      <c r="C437" s="5" t="s">
        <v>26</v>
      </c>
      <c r="D437" s="6" t="n">
        <v>16</v>
      </c>
      <c r="E437" s="6" t="n">
        <v>10</v>
      </c>
      <c r="F437" s="6" t="n">
        <v>8</v>
      </c>
      <c r="G437" s="6" t="n">
        <v>6</v>
      </c>
      <c r="H437" s="6" t="n">
        <v>10</v>
      </c>
      <c r="I437" s="6" t="n">
        <v>13</v>
      </c>
      <c r="J437" s="6" t="n">
        <v>3</v>
      </c>
      <c r="K437" s="7" t="n">
        <f aca="false">SUM(D437:J437)</f>
        <v>66</v>
      </c>
    </row>
    <row r="438" customFormat="false" ht="15" hidden="false" customHeight="false" outlineLevel="0" collapsed="false">
      <c r="A438" s="42"/>
      <c r="B438" s="42"/>
      <c r="C438" s="44" t="s">
        <v>14</v>
      </c>
      <c r="D438" s="9" t="n">
        <v>7.9</v>
      </c>
      <c r="E438" s="9" t="n">
        <v>9.3</v>
      </c>
      <c r="F438" s="9" t="n">
        <v>8.1</v>
      </c>
      <c r="G438" s="9" t="n">
        <v>8.7</v>
      </c>
      <c r="H438" s="9" t="n">
        <v>7.5</v>
      </c>
      <c r="I438" s="9" t="n">
        <v>14.3</v>
      </c>
      <c r="J438" s="9" t="n">
        <v>9.2</v>
      </c>
      <c r="K438" s="10" t="n">
        <f aca="false">SUM(D438:J438)</f>
        <v>65</v>
      </c>
    </row>
    <row r="439" customFormat="false" ht="15" hidden="false" customHeight="false" outlineLevel="0" collapsed="false">
      <c r="A439" s="42"/>
      <c r="B439" s="42"/>
      <c r="C439" s="11" t="s">
        <v>41</v>
      </c>
      <c r="D439" s="14" t="n">
        <f aca="false">IFERROR((D438-D437)/D437,0)</f>
        <v>-0.50625</v>
      </c>
      <c r="E439" s="14" t="n">
        <f aca="false">IFERROR((E438-E437)/E437,0)</f>
        <v>-0.0699999999999999</v>
      </c>
      <c r="F439" s="14" t="n">
        <f aca="false">IFERROR((F438-F437)/F437,0)</f>
        <v>0.0125</v>
      </c>
      <c r="G439" s="14" t="n">
        <f aca="false">IFERROR((G438-G437)/G437,0)</f>
        <v>0.45</v>
      </c>
      <c r="H439" s="14" t="n">
        <f aca="false">IFERROR((H438-H437)/H437,0)</f>
        <v>-0.25</v>
      </c>
      <c r="I439" s="14" t="n">
        <f aca="false">IFERROR((I438-I437)/I437,0)</f>
        <v>0.1</v>
      </c>
      <c r="J439" s="14" t="n">
        <f aca="false">IFERROR((J438-J437)/J437,0)</f>
        <v>2.06666666666667</v>
      </c>
      <c r="K439" s="15" t="n">
        <f aca="false">IFERROR((SUM(D438:J438)-SUM(D437:J437))/SUM(D437:J437),0)</f>
        <v>-0.0151515151515152</v>
      </c>
    </row>
    <row r="440" customFormat="false" ht="15" hidden="false" customHeight="true" outlineLevel="0" collapsed="false">
      <c r="A440" s="42" t="s">
        <v>405</v>
      </c>
      <c r="B440" s="43" t="s">
        <v>406</v>
      </c>
      <c r="C440" s="5" t="s">
        <v>26</v>
      </c>
      <c r="D440" s="6" t="n">
        <v>12</v>
      </c>
      <c r="E440" s="6" t="n">
        <v>13</v>
      </c>
      <c r="F440" s="6" t="n">
        <v>7</v>
      </c>
      <c r="G440" s="6" t="n">
        <v>4</v>
      </c>
      <c r="H440" s="6" t="n">
        <v>10</v>
      </c>
      <c r="I440" s="6" t="n">
        <v>11</v>
      </c>
      <c r="J440" s="6" t="n">
        <v>8</v>
      </c>
      <c r="K440" s="7" t="n">
        <f aca="false">SUM(D440:J440)</f>
        <v>65</v>
      </c>
    </row>
    <row r="441" customFormat="false" ht="15" hidden="false" customHeight="false" outlineLevel="0" collapsed="false">
      <c r="A441" s="42"/>
      <c r="B441" s="42"/>
      <c r="C441" s="44" t="s">
        <v>14</v>
      </c>
      <c r="D441" s="9" t="n">
        <v>10.9</v>
      </c>
      <c r="E441" s="9" t="n">
        <v>10.2</v>
      </c>
      <c r="F441" s="9" t="n">
        <v>12.1</v>
      </c>
      <c r="G441" s="9" t="n">
        <v>11.7</v>
      </c>
      <c r="H441" s="9" t="n">
        <v>10.4</v>
      </c>
      <c r="I441" s="9" t="n">
        <v>16.3</v>
      </c>
      <c r="J441" s="9" t="n">
        <v>14.3</v>
      </c>
      <c r="K441" s="10" t="n">
        <f aca="false">SUM(D441:J441)</f>
        <v>85.9</v>
      </c>
    </row>
    <row r="442" customFormat="false" ht="15" hidden="false" customHeight="false" outlineLevel="0" collapsed="false">
      <c r="A442" s="42"/>
      <c r="B442" s="42"/>
      <c r="C442" s="11" t="s">
        <v>41</v>
      </c>
      <c r="D442" s="14" t="n">
        <f aca="false">IFERROR((D441-D440)/D440,0)</f>
        <v>-0.0916666666666666</v>
      </c>
      <c r="E442" s="14" t="n">
        <f aca="false">IFERROR((E441-E440)/E440,0)</f>
        <v>-0.215384615384615</v>
      </c>
      <c r="F442" s="14" t="n">
        <f aca="false">IFERROR((F441-F440)/F440,0)</f>
        <v>0.728571428571429</v>
      </c>
      <c r="G442" s="14" t="n">
        <f aca="false">IFERROR((G441-G440)/G440,0)</f>
        <v>1.925</v>
      </c>
      <c r="H442" s="14" t="n">
        <f aca="false">IFERROR((H441-H440)/H440,0)</f>
        <v>0.04</v>
      </c>
      <c r="I442" s="14" t="n">
        <f aca="false">IFERROR((I441-I440)/I440,0)</f>
        <v>0.481818181818182</v>
      </c>
      <c r="J442" s="14" t="n">
        <f aca="false">IFERROR((J441-J440)/J440,0)</f>
        <v>0.7875</v>
      </c>
      <c r="K442" s="15" t="n">
        <f aca="false">IFERROR((SUM(D441:J441)-SUM(D440:J440))/SUM(D440:J440),0)</f>
        <v>0.321538461538461</v>
      </c>
    </row>
    <row r="443" customFormat="false" ht="15" hidden="false" customHeight="true" outlineLevel="0" collapsed="false">
      <c r="A443" s="42" t="s">
        <v>407</v>
      </c>
      <c r="B443" s="43" t="s">
        <v>408</v>
      </c>
      <c r="C443" s="5" t="s">
        <v>26</v>
      </c>
      <c r="D443" s="6" t="n">
        <v>8</v>
      </c>
      <c r="E443" s="6" t="n">
        <v>14</v>
      </c>
      <c r="F443" s="6" t="n">
        <v>8</v>
      </c>
      <c r="G443" s="6" t="n">
        <v>9</v>
      </c>
      <c r="H443" s="6" t="n">
        <v>7</v>
      </c>
      <c r="I443" s="6" t="n">
        <v>9</v>
      </c>
      <c r="J443" s="6" t="n">
        <v>9</v>
      </c>
      <c r="K443" s="7" t="n">
        <f aca="false">SUM(D443:J443)</f>
        <v>64</v>
      </c>
    </row>
    <row r="444" customFormat="false" ht="15" hidden="false" customHeight="false" outlineLevel="0" collapsed="false">
      <c r="A444" s="42"/>
      <c r="B444" s="42"/>
      <c r="C444" s="44" t="s">
        <v>14</v>
      </c>
      <c r="D444" s="9" t="n">
        <v>8.1</v>
      </c>
      <c r="E444" s="9" t="n">
        <v>13.3</v>
      </c>
      <c r="F444" s="9" t="n">
        <v>11</v>
      </c>
      <c r="G444" s="9" t="n">
        <v>13</v>
      </c>
      <c r="H444" s="9" t="n">
        <v>12</v>
      </c>
      <c r="I444" s="9" t="n">
        <v>18.4</v>
      </c>
      <c r="J444" s="9" t="n">
        <v>12.3</v>
      </c>
      <c r="K444" s="10" t="n">
        <f aca="false">SUM(D444:J444)</f>
        <v>88.1</v>
      </c>
    </row>
    <row r="445" customFormat="false" ht="15" hidden="false" customHeight="false" outlineLevel="0" collapsed="false">
      <c r="A445" s="42"/>
      <c r="B445" s="42"/>
      <c r="C445" s="11" t="s">
        <v>41</v>
      </c>
      <c r="D445" s="14" t="n">
        <f aca="false">IFERROR((D444-D443)/D443,0)</f>
        <v>0.0125</v>
      </c>
      <c r="E445" s="14" t="n">
        <f aca="false">IFERROR((E444-E443)/E443,0)</f>
        <v>-0.05</v>
      </c>
      <c r="F445" s="14" t="n">
        <f aca="false">IFERROR((F444-F443)/F443,0)</f>
        <v>0.375</v>
      </c>
      <c r="G445" s="14" t="n">
        <f aca="false">IFERROR((G444-G443)/G443,0)</f>
        <v>0.444444444444444</v>
      </c>
      <c r="H445" s="14" t="n">
        <f aca="false">IFERROR((H444-H443)/H443,0)</f>
        <v>0.714285714285714</v>
      </c>
      <c r="I445" s="14" t="n">
        <f aca="false">IFERROR((I444-I443)/I443,0)</f>
        <v>1.04444444444444</v>
      </c>
      <c r="J445" s="14" t="n">
        <f aca="false">IFERROR((J444-J443)/J443,0)</f>
        <v>0.366666666666667</v>
      </c>
      <c r="K445" s="15" t="n">
        <f aca="false">IFERROR((SUM(D444:J444)-SUM(D443:J443))/SUM(D443:J443),0)</f>
        <v>0.3765625</v>
      </c>
    </row>
    <row r="446" customFormat="false" ht="15" hidden="false" customHeight="true" outlineLevel="0" collapsed="false">
      <c r="A446" s="42" t="s">
        <v>409</v>
      </c>
      <c r="B446" s="43" t="s">
        <v>410</v>
      </c>
      <c r="C446" s="5" t="s">
        <v>26</v>
      </c>
      <c r="D446" s="6" t="n">
        <v>12</v>
      </c>
      <c r="E446" s="6" t="n">
        <v>4</v>
      </c>
      <c r="F446" s="6" t="n">
        <v>14</v>
      </c>
      <c r="G446" s="6" t="n">
        <v>7</v>
      </c>
      <c r="H446" s="6" t="n">
        <v>5</v>
      </c>
      <c r="I446" s="6" t="n">
        <v>15</v>
      </c>
      <c r="J446" s="6" t="n">
        <v>4</v>
      </c>
      <c r="K446" s="7" t="n">
        <f aca="false">SUM(D446:J446)</f>
        <v>61</v>
      </c>
    </row>
    <row r="447" customFormat="false" ht="15" hidden="false" customHeight="false" outlineLevel="0" collapsed="false">
      <c r="A447" s="42"/>
      <c r="B447" s="42"/>
      <c r="C447" s="44" t="s">
        <v>14</v>
      </c>
      <c r="D447" s="9" t="n">
        <v>4.9</v>
      </c>
      <c r="E447" s="9" t="n">
        <v>8.2</v>
      </c>
      <c r="F447" s="9" t="n">
        <v>7.9</v>
      </c>
      <c r="G447" s="9" t="n">
        <v>6.6</v>
      </c>
      <c r="H447" s="9" t="n">
        <v>9.4</v>
      </c>
      <c r="I447" s="9" t="n">
        <v>16</v>
      </c>
      <c r="J447" s="9" t="n">
        <v>8.2</v>
      </c>
      <c r="K447" s="10" t="n">
        <f aca="false">SUM(D447:J447)</f>
        <v>61.2</v>
      </c>
    </row>
    <row r="448" customFormat="false" ht="15" hidden="false" customHeight="false" outlineLevel="0" collapsed="false">
      <c r="A448" s="42"/>
      <c r="B448" s="42"/>
      <c r="C448" s="11" t="s">
        <v>41</v>
      </c>
      <c r="D448" s="14" t="n">
        <f aca="false">IFERROR((D447-D446)/D446,0)</f>
        <v>-0.591666666666667</v>
      </c>
      <c r="E448" s="14" t="n">
        <f aca="false">IFERROR((E447-E446)/E446,0)</f>
        <v>1.05</v>
      </c>
      <c r="F448" s="14" t="n">
        <f aca="false">IFERROR((F447-F446)/F446,0)</f>
        <v>-0.435714285714286</v>
      </c>
      <c r="G448" s="14" t="n">
        <f aca="false">IFERROR((G447-G446)/G446,0)</f>
        <v>-0.0571428571428572</v>
      </c>
      <c r="H448" s="14" t="n">
        <f aca="false">IFERROR((H447-H446)/H446,0)</f>
        <v>0.88</v>
      </c>
      <c r="I448" s="14" t="n">
        <f aca="false">IFERROR((I447-I446)/I446,0)</f>
        <v>0.0666666666666667</v>
      </c>
      <c r="J448" s="14" t="n">
        <f aca="false">IFERROR((J447-J446)/J446,0)</f>
        <v>1.05</v>
      </c>
      <c r="K448" s="15" t="n">
        <f aca="false">IFERROR((SUM(D447:J447)-SUM(D446:J446))/SUM(D446:J446),0)</f>
        <v>0.00327868852459021</v>
      </c>
    </row>
    <row r="449" customFormat="false" ht="15" hidden="false" customHeight="true" outlineLevel="0" collapsed="false">
      <c r="A449" s="42" t="s">
        <v>411</v>
      </c>
      <c r="B449" s="43" t="s">
        <v>412</v>
      </c>
      <c r="C449" s="5" t="s">
        <v>26</v>
      </c>
      <c r="D449" s="6" t="n">
        <v>17</v>
      </c>
      <c r="E449" s="6" t="n">
        <v>10</v>
      </c>
      <c r="F449" s="6" t="n">
        <v>7</v>
      </c>
      <c r="G449" s="6" t="n">
        <v>7</v>
      </c>
      <c r="H449" s="6" t="n">
        <v>4</v>
      </c>
      <c r="I449" s="6" t="n">
        <v>9</v>
      </c>
      <c r="J449" s="6" t="n">
        <v>0</v>
      </c>
      <c r="K449" s="7" t="n">
        <f aca="false">SUM(D449:J449)</f>
        <v>54</v>
      </c>
    </row>
    <row r="450" customFormat="false" ht="15" hidden="false" customHeight="false" outlineLevel="0" collapsed="false">
      <c r="A450" s="42"/>
      <c r="B450" s="42"/>
      <c r="C450" s="44" t="s">
        <v>14</v>
      </c>
      <c r="D450" s="9" t="n">
        <v>13.3</v>
      </c>
      <c r="E450" s="9" t="n">
        <v>11.3</v>
      </c>
      <c r="F450" s="9" t="n">
        <v>9.8</v>
      </c>
      <c r="G450" s="9" t="n">
        <v>7.9</v>
      </c>
      <c r="H450" s="9" t="n">
        <v>6.8</v>
      </c>
      <c r="I450" s="9" t="n">
        <v>8.9</v>
      </c>
      <c r="J450" s="9" t="n">
        <v>0.9</v>
      </c>
      <c r="K450" s="10" t="n">
        <f aca="false">SUM(D450:J450)</f>
        <v>58.9</v>
      </c>
    </row>
    <row r="451" customFormat="false" ht="15" hidden="false" customHeight="false" outlineLevel="0" collapsed="false">
      <c r="A451" s="42"/>
      <c r="B451" s="42"/>
      <c r="C451" s="11" t="s">
        <v>41</v>
      </c>
      <c r="D451" s="14" t="n">
        <f aca="false">IFERROR((D450-D449)/D449,0)</f>
        <v>-0.217647058823529</v>
      </c>
      <c r="E451" s="14" t="n">
        <f aca="false">IFERROR((E450-E449)/E449,0)</f>
        <v>0.13</v>
      </c>
      <c r="F451" s="14" t="n">
        <f aca="false">IFERROR((F450-F449)/F449,0)</f>
        <v>0.4</v>
      </c>
      <c r="G451" s="14" t="n">
        <f aca="false">IFERROR((G450-G449)/G449,0)</f>
        <v>0.128571428571429</v>
      </c>
      <c r="H451" s="14" t="n">
        <f aca="false">IFERROR((H450-H449)/H449,0)</f>
        <v>0.7</v>
      </c>
      <c r="I451" s="14" t="n">
        <f aca="false">IFERROR((I450-I449)/I449,0)</f>
        <v>-0.0111111111111111</v>
      </c>
      <c r="J451" s="14" t="n">
        <f aca="false">IFERROR((J450-J449)/J449,0)</f>
        <v>0</v>
      </c>
      <c r="K451" s="15" t="n">
        <f aca="false">IFERROR((SUM(D450:J450)-SUM(D449:J449))/SUM(D449:J449),0)</f>
        <v>0.0907407407407407</v>
      </c>
    </row>
    <row r="452" customFormat="false" ht="15" hidden="false" customHeight="true" outlineLevel="0" collapsed="false">
      <c r="A452" s="42" t="s">
        <v>413</v>
      </c>
      <c r="B452" s="43" t="s">
        <v>414</v>
      </c>
      <c r="C452" s="5" t="s">
        <v>26</v>
      </c>
      <c r="D452" s="6" t="n">
        <v>6</v>
      </c>
      <c r="E452" s="6" t="n">
        <v>9</v>
      </c>
      <c r="F452" s="6" t="n">
        <v>2</v>
      </c>
      <c r="G452" s="6" t="n">
        <v>3</v>
      </c>
      <c r="H452" s="6" t="n">
        <v>6</v>
      </c>
      <c r="I452" s="6" t="n">
        <v>16</v>
      </c>
      <c r="J452" s="6" t="n">
        <v>7</v>
      </c>
      <c r="K452" s="7" t="n">
        <f aca="false">SUM(D452:J452)</f>
        <v>49</v>
      </c>
    </row>
    <row r="453" customFormat="false" ht="15" hidden="false" customHeight="false" outlineLevel="0" collapsed="false">
      <c r="A453" s="42"/>
      <c r="B453" s="42"/>
      <c r="C453" s="44" t="s">
        <v>14</v>
      </c>
      <c r="D453" s="9" t="n">
        <v>5.8</v>
      </c>
      <c r="E453" s="9" t="n">
        <v>6.5</v>
      </c>
      <c r="F453" s="9" t="n">
        <v>7.6</v>
      </c>
      <c r="G453" s="9" t="n">
        <v>5.9</v>
      </c>
      <c r="H453" s="9" t="n">
        <v>6.9</v>
      </c>
      <c r="I453" s="9" t="n">
        <v>10.3</v>
      </c>
      <c r="J453" s="9" t="n">
        <v>17.6</v>
      </c>
      <c r="K453" s="10" t="n">
        <f aca="false">SUM(D453:J453)</f>
        <v>60.6</v>
      </c>
    </row>
    <row r="454" customFormat="false" ht="15" hidden="false" customHeight="false" outlineLevel="0" collapsed="false">
      <c r="A454" s="42"/>
      <c r="B454" s="42"/>
      <c r="C454" s="11" t="s">
        <v>41</v>
      </c>
      <c r="D454" s="14" t="n">
        <f aca="false">IFERROR((D453-D452)/D452,0)</f>
        <v>-0.0333333333333334</v>
      </c>
      <c r="E454" s="14" t="n">
        <f aca="false">IFERROR((E453-E452)/E452,0)</f>
        <v>-0.277777777777778</v>
      </c>
      <c r="F454" s="14" t="n">
        <f aca="false">IFERROR((F453-F452)/F452,0)</f>
        <v>2.8</v>
      </c>
      <c r="G454" s="14" t="n">
        <f aca="false">IFERROR((G453-G452)/G452,0)</f>
        <v>0.966666666666667</v>
      </c>
      <c r="H454" s="14" t="n">
        <f aca="false">IFERROR((H453-H452)/H452,0)</f>
        <v>0.15</v>
      </c>
      <c r="I454" s="14" t="n">
        <f aca="false">IFERROR((I453-I452)/I452,0)</f>
        <v>-0.35625</v>
      </c>
      <c r="J454" s="14" t="n">
        <f aca="false">IFERROR((J453-J452)/J452,0)</f>
        <v>1.51428571428571</v>
      </c>
      <c r="K454" s="15" t="n">
        <f aca="false">IFERROR((SUM(D453:J453)-SUM(D452:J452))/SUM(D452:J452),0)</f>
        <v>0.236734693877551</v>
      </c>
    </row>
    <row r="455" customFormat="false" ht="15" hidden="false" customHeight="true" outlineLevel="0" collapsed="false">
      <c r="A455" s="42" t="s">
        <v>415</v>
      </c>
      <c r="B455" s="43" t="s">
        <v>416</v>
      </c>
      <c r="C455" s="5" t="s">
        <v>26</v>
      </c>
      <c r="D455" s="6" t="n">
        <v>15</v>
      </c>
      <c r="E455" s="6" t="n">
        <v>9</v>
      </c>
      <c r="F455" s="6" t="n">
        <v>6</v>
      </c>
      <c r="G455" s="6" t="n">
        <v>4</v>
      </c>
      <c r="H455" s="6" t="n">
        <v>4</v>
      </c>
      <c r="I455" s="6" t="n">
        <v>6</v>
      </c>
      <c r="J455" s="6" t="n">
        <v>5</v>
      </c>
      <c r="K455" s="7" t="n">
        <f aca="false">SUM(D455:J455)</f>
        <v>49</v>
      </c>
    </row>
    <row r="456" customFormat="false" ht="15" hidden="false" customHeight="false" outlineLevel="0" collapsed="false">
      <c r="A456" s="42"/>
      <c r="B456" s="42"/>
      <c r="C456" s="44" t="s">
        <v>14</v>
      </c>
      <c r="D456" s="9" t="n">
        <v>6.3</v>
      </c>
      <c r="E456" s="9" t="n">
        <v>5.6</v>
      </c>
      <c r="F456" s="9" t="n">
        <v>3.8</v>
      </c>
      <c r="G456" s="9" t="n">
        <v>3.3</v>
      </c>
      <c r="H456" s="9" t="n">
        <v>5.5</v>
      </c>
      <c r="I456" s="9" t="n">
        <v>6.9</v>
      </c>
      <c r="J456" s="9" t="n">
        <v>4.4</v>
      </c>
      <c r="K456" s="10" t="n">
        <f aca="false">SUM(D456:J456)</f>
        <v>35.8</v>
      </c>
    </row>
    <row r="457" customFormat="false" ht="15" hidden="false" customHeight="false" outlineLevel="0" collapsed="false">
      <c r="A457" s="42"/>
      <c r="B457" s="42"/>
      <c r="C457" s="11" t="s">
        <v>41</v>
      </c>
      <c r="D457" s="14" t="n">
        <f aca="false">IFERROR((D456-D455)/D455,0)</f>
        <v>-0.58</v>
      </c>
      <c r="E457" s="14" t="n">
        <f aca="false">IFERROR((E456-E455)/E455,0)</f>
        <v>-0.377777777777778</v>
      </c>
      <c r="F457" s="14" t="n">
        <f aca="false">IFERROR((F456-F455)/F455,0)</f>
        <v>-0.366666666666667</v>
      </c>
      <c r="G457" s="14" t="n">
        <f aca="false">IFERROR((G456-G455)/G455,0)</f>
        <v>-0.175</v>
      </c>
      <c r="H457" s="14" t="n">
        <f aca="false">IFERROR((H456-H455)/H455,0)</f>
        <v>0.375</v>
      </c>
      <c r="I457" s="14" t="n">
        <f aca="false">IFERROR((I456-I455)/I455,0)</f>
        <v>0.15</v>
      </c>
      <c r="J457" s="14" t="n">
        <f aca="false">IFERROR((J456-J455)/J455,0)</f>
        <v>-0.12</v>
      </c>
      <c r="K457" s="15" t="n">
        <f aca="false">IFERROR((SUM(D456:J456)-SUM(D455:J455))/SUM(D455:J455),0)</f>
        <v>-0.269387755102041</v>
      </c>
    </row>
    <row r="458" customFormat="false" ht="15" hidden="false" customHeight="true" outlineLevel="0" collapsed="false">
      <c r="A458" s="42" t="s">
        <v>417</v>
      </c>
      <c r="B458" s="43" t="s">
        <v>418</v>
      </c>
      <c r="C458" s="5" t="s">
        <v>26</v>
      </c>
      <c r="D458" s="6" t="n">
        <v>7</v>
      </c>
      <c r="E458" s="6" t="n">
        <v>3</v>
      </c>
      <c r="F458" s="6" t="n">
        <v>12</v>
      </c>
      <c r="G458" s="6" t="n">
        <v>4</v>
      </c>
      <c r="H458" s="6" t="n">
        <v>7</v>
      </c>
      <c r="I458" s="6" t="n">
        <v>11</v>
      </c>
      <c r="J458" s="6" t="n">
        <v>5</v>
      </c>
      <c r="K458" s="7" t="n">
        <f aca="false">SUM(D458:J458)</f>
        <v>49</v>
      </c>
    </row>
    <row r="459" customFormat="false" ht="15" hidden="false" customHeight="false" outlineLevel="0" collapsed="false">
      <c r="A459" s="42"/>
      <c r="B459" s="42"/>
      <c r="C459" s="44" t="s">
        <v>14</v>
      </c>
      <c r="D459" s="9" t="n">
        <v>8</v>
      </c>
      <c r="E459" s="9" t="n">
        <v>3.7</v>
      </c>
      <c r="F459" s="9" t="n">
        <v>7.2</v>
      </c>
      <c r="G459" s="9" t="n">
        <v>7.5</v>
      </c>
      <c r="H459" s="9" t="n">
        <v>6.3</v>
      </c>
      <c r="I459" s="9" t="n">
        <v>11.1</v>
      </c>
      <c r="J459" s="9" t="n">
        <v>9.5</v>
      </c>
      <c r="K459" s="10" t="n">
        <f aca="false">SUM(D459:J459)</f>
        <v>53.3</v>
      </c>
    </row>
    <row r="460" customFormat="false" ht="15" hidden="false" customHeight="false" outlineLevel="0" collapsed="false">
      <c r="A460" s="42"/>
      <c r="B460" s="42"/>
      <c r="C460" s="11" t="s">
        <v>41</v>
      </c>
      <c r="D460" s="14" t="n">
        <f aca="false">IFERROR((D459-D458)/D458,0)</f>
        <v>0.142857142857143</v>
      </c>
      <c r="E460" s="14" t="n">
        <f aca="false">IFERROR((E459-E458)/E458,0)</f>
        <v>0.233333333333333</v>
      </c>
      <c r="F460" s="14" t="n">
        <f aca="false">IFERROR((F459-F458)/F458,0)</f>
        <v>-0.4</v>
      </c>
      <c r="G460" s="14" t="n">
        <f aca="false">IFERROR((G459-G458)/G458,0)</f>
        <v>0.875</v>
      </c>
      <c r="H460" s="14" t="n">
        <f aca="false">IFERROR((H459-H458)/H458,0)</f>
        <v>-0.1</v>
      </c>
      <c r="I460" s="14" t="n">
        <f aca="false">IFERROR((I459-I458)/I458,0)</f>
        <v>0.00909090909090906</v>
      </c>
      <c r="J460" s="14" t="n">
        <f aca="false">IFERROR((J459-J458)/J458,0)</f>
        <v>0.9</v>
      </c>
      <c r="K460" s="15" t="n">
        <f aca="false">IFERROR((SUM(D459:J459)-SUM(D458:J458))/SUM(D458:J458),0)</f>
        <v>0.0877551020408163</v>
      </c>
    </row>
    <row r="461" customFormat="false" ht="15" hidden="false" customHeight="true" outlineLevel="0" collapsed="false">
      <c r="A461" s="42" t="s">
        <v>419</v>
      </c>
      <c r="B461" s="43" t="s">
        <v>420</v>
      </c>
      <c r="C461" s="5" t="s">
        <v>26</v>
      </c>
      <c r="D461" s="6" t="n">
        <v>11</v>
      </c>
      <c r="E461" s="6" t="n">
        <v>6</v>
      </c>
      <c r="F461" s="6" t="n">
        <v>12</v>
      </c>
      <c r="G461" s="6" t="n">
        <v>9</v>
      </c>
      <c r="H461" s="6" t="n">
        <v>3</v>
      </c>
      <c r="I461" s="6" t="n">
        <v>2</v>
      </c>
      <c r="J461" s="6" t="n">
        <v>1</v>
      </c>
      <c r="K461" s="7" t="n">
        <f aca="false">SUM(D461:J461)</f>
        <v>44</v>
      </c>
    </row>
    <row r="462" customFormat="false" ht="15" hidden="false" customHeight="false" outlineLevel="0" collapsed="false">
      <c r="A462" s="42"/>
      <c r="B462" s="42"/>
      <c r="C462" s="44" t="s">
        <v>14</v>
      </c>
      <c r="D462" s="9" t="n">
        <v>5.2</v>
      </c>
      <c r="E462" s="9" t="n">
        <v>3.4</v>
      </c>
      <c r="F462" s="9" t="n">
        <v>7</v>
      </c>
      <c r="G462" s="9" t="n">
        <v>7.9</v>
      </c>
      <c r="H462" s="9" t="n">
        <v>3.9</v>
      </c>
      <c r="I462" s="9" t="n">
        <v>3.3</v>
      </c>
      <c r="J462" s="9" t="n">
        <v>3.5</v>
      </c>
      <c r="K462" s="10" t="n">
        <f aca="false">SUM(D462:J462)</f>
        <v>34.2</v>
      </c>
    </row>
    <row r="463" customFormat="false" ht="15" hidden="false" customHeight="false" outlineLevel="0" collapsed="false">
      <c r="A463" s="42"/>
      <c r="B463" s="42"/>
      <c r="C463" s="11" t="s">
        <v>41</v>
      </c>
      <c r="D463" s="14" t="n">
        <f aca="false">IFERROR((D462-D461)/D461,0)</f>
        <v>-0.527272727272727</v>
      </c>
      <c r="E463" s="14" t="n">
        <f aca="false">IFERROR((E462-E461)/E461,0)</f>
        <v>-0.433333333333333</v>
      </c>
      <c r="F463" s="14" t="n">
        <f aca="false">IFERROR((F462-F461)/F461,0)</f>
        <v>-0.416666666666667</v>
      </c>
      <c r="G463" s="14" t="n">
        <f aca="false">IFERROR((G462-G461)/G461,0)</f>
        <v>-0.122222222222222</v>
      </c>
      <c r="H463" s="14" t="n">
        <f aca="false">IFERROR((H462-H461)/H461,0)</f>
        <v>0.3</v>
      </c>
      <c r="I463" s="14" t="n">
        <f aca="false">IFERROR((I462-I461)/I461,0)</f>
        <v>0.65</v>
      </c>
      <c r="J463" s="14" t="n">
        <f aca="false">IFERROR((J462-J461)/J461,0)</f>
        <v>2.5</v>
      </c>
      <c r="K463" s="15" t="n">
        <f aca="false">IFERROR((SUM(D462:J462)-SUM(D461:J461))/SUM(D461:J461),0)</f>
        <v>-0.222727272727273</v>
      </c>
    </row>
    <row r="464" customFormat="false" ht="15" hidden="false" customHeight="true" outlineLevel="0" collapsed="false">
      <c r="A464" s="42" t="s">
        <v>421</v>
      </c>
      <c r="B464" s="43" t="s">
        <v>422</v>
      </c>
      <c r="C464" s="5" t="s">
        <v>26</v>
      </c>
      <c r="D464" s="6" t="n">
        <v>3</v>
      </c>
      <c r="E464" s="6" t="n">
        <v>9</v>
      </c>
      <c r="F464" s="6" t="n">
        <v>4</v>
      </c>
      <c r="G464" s="6" t="n">
        <v>7</v>
      </c>
      <c r="H464" s="6" t="n">
        <v>4</v>
      </c>
      <c r="I464" s="6" t="n">
        <v>8</v>
      </c>
      <c r="J464" s="6" t="n">
        <v>9</v>
      </c>
      <c r="K464" s="7" t="n">
        <f aca="false">SUM(D464:J464)</f>
        <v>44</v>
      </c>
    </row>
    <row r="465" customFormat="false" ht="15" hidden="false" customHeight="false" outlineLevel="0" collapsed="false">
      <c r="A465" s="42"/>
      <c r="B465" s="42"/>
      <c r="C465" s="44" t="s">
        <v>14</v>
      </c>
      <c r="D465" s="9" t="n">
        <v>6.7</v>
      </c>
      <c r="E465" s="9" t="n">
        <v>6.4</v>
      </c>
      <c r="F465" s="9" t="n">
        <v>4.8</v>
      </c>
      <c r="G465" s="9" t="n">
        <v>5.5</v>
      </c>
      <c r="H465" s="9" t="n">
        <v>5.8</v>
      </c>
      <c r="I465" s="9" t="n">
        <v>12.5</v>
      </c>
      <c r="J465" s="9" t="n">
        <v>10.9</v>
      </c>
      <c r="K465" s="10" t="n">
        <f aca="false">SUM(D465:J465)</f>
        <v>52.6</v>
      </c>
    </row>
    <row r="466" customFormat="false" ht="15" hidden="false" customHeight="false" outlineLevel="0" collapsed="false">
      <c r="A466" s="42"/>
      <c r="B466" s="42"/>
      <c r="C466" s="11" t="s">
        <v>41</v>
      </c>
      <c r="D466" s="14" t="n">
        <f aca="false">IFERROR((D465-D464)/D464,0)</f>
        <v>1.23333333333333</v>
      </c>
      <c r="E466" s="14" t="n">
        <f aca="false">IFERROR((E465-E464)/E464,0)</f>
        <v>-0.288888888888889</v>
      </c>
      <c r="F466" s="14" t="n">
        <f aca="false">IFERROR((F465-F464)/F464,0)</f>
        <v>0.2</v>
      </c>
      <c r="G466" s="14" t="n">
        <f aca="false">IFERROR((G465-G464)/G464,0)</f>
        <v>-0.214285714285714</v>
      </c>
      <c r="H466" s="14" t="n">
        <f aca="false">IFERROR((H465-H464)/H464,0)</f>
        <v>0.45</v>
      </c>
      <c r="I466" s="14" t="n">
        <f aca="false">IFERROR((I465-I464)/I464,0)</f>
        <v>0.5625</v>
      </c>
      <c r="J466" s="14" t="n">
        <f aca="false">IFERROR((J465-J464)/J464,0)</f>
        <v>0.211111111111111</v>
      </c>
      <c r="K466" s="15" t="n">
        <f aca="false">IFERROR((SUM(D465:J465)-SUM(D464:J464))/SUM(D464:J464),0)</f>
        <v>0.195454545454546</v>
      </c>
    </row>
    <row r="467" customFormat="false" ht="15" hidden="false" customHeight="true" outlineLevel="0" collapsed="false">
      <c r="A467" s="42" t="s">
        <v>423</v>
      </c>
      <c r="B467" s="43" t="s">
        <v>424</v>
      </c>
      <c r="C467" s="5" t="s">
        <v>26</v>
      </c>
      <c r="D467" s="6" t="n">
        <v>9</v>
      </c>
      <c r="E467" s="6" t="n">
        <v>7</v>
      </c>
      <c r="F467" s="6" t="n">
        <v>12</v>
      </c>
      <c r="G467" s="6" t="n">
        <v>11</v>
      </c>
      <c r="H467" s="6" t="n">
        <v>2</v>
      </c>
      <c r="I467" s="6" t="n">
        <v>2</v>
      </c>
      <c r="J467" s="6" t="n">
        <v>0</v>
      </c>
      <c r="K467" s="7" t="n">
        <f aca="false">SUM(D467:J467)</f>
        <v>43</v>
      </c>
    </row>
    <row r="468" customFormat="false" ht="15" hidden="false" customHeight="false" outlineLevel="0" collapsed="false">
      <c r="A468" s="42"/>
      <c r="B468" s="42"/>
      <c r="C468" s="44" t="s">
        <v>14</v>
      </c>
      <c r="D468" s="9" t="n">
        <v>8</v>
      </c>
      <c r="E468" s="9" t="n">
        <v>7</v>
      </c>
      <c r="F468" s="9" t="n">
        <v>8</v>
      </c>
      <c r="G468" s="9" t="n">
        <v>6.5</v>
      </c>
      <c r="H468" s="9" t="n">
        <v>2.9</v>
      </c>
      <c r="I468" s="9" t="n">
        <v>1.2</v>
      </c>
      <c r="J468" s="9" t="n">
        <v>0.2</v>
      </c>
      <c r="K468" s="10" t="n">
        <f aca="false">SUM(D468:J468)</f>
        <v>33.8</v>
      </c>
    </row>
    <row r="469" customFormat="false" ht="15" hidden="false" customHeight="false" outlineLevel="0" collapsed="false">
      <c r="A469" s="42"/>
      <c r="B469" s="42"/>
      <c r="C469" s="11" t="s">
        <v>41</v>
      </c>
      <c r="D469" s="14" t="n">
        <f aca="false">IFERROR((D468-D467)/D467,0)</f>
        <v>-0.111111111111111</v>
      </c>
      <c r="E469" s="14" t="n">
        <f aca="false">IFERROR((E468-E467)/E467,0)</f>
        <v>0</v>
      </c>
      <c r="F469" s="14" t="n">
        <f aca="false">IFERROR((F468-F467)/F467,0)</f>
        <v>-0.333333333333333</v>
      </c>
      <c r="G469" s="14" t="n">
        <f aca="false">IFERROR((G468-G467)/G467,0)</f>
        <v>-0.409090909090909</v>
      </c>
      <c r="H469" s="14" t="n">
        <f aca="false">IFERROR((H468-H467)/H467,0)</f>
        <v>0.45</v>
      </c>
      <c r="I469" s="14" t="n">
        <f aca="false">IFERROR((I468-I467)/I467,0)</f>
        <v>-0.4</v>
      </c>
      <c r="J469" s="14" t="n">
        <f aca="false">IFERROR((J468-J467)/J467,0)</f>
        <v>0</v>
      </c>
      <c r="K469" s="15" t="n">
        <f aca="false">IFERROR((SUM(D468:J468)-SUM(D467:J467))/SUM(D467:J467),0)</f>
        <v>-0.213953488372093</v>
      </c>
    </row>
    <row r="470" customFormat="false" ht="15" hidden="false" customHeight="true" outlineLevel="0" collapsed="false">
      <c r="A470" s="42" t="s">
        <v>425</v>
      </c>
      <c r="B470" s="43" t="s">
        <v>426</v>
      </c>
      <c r="C470" s="5" t="s">
        <v>26</v>
      </c>
      <c r="D470" s="6" t="n">
        <v>5</v>
      </c>
      <c r="E470" s="6" t="n">
        <v>7</v>
      </c>
      <c r="F470" s="6" t="n">
        <v>3</v>
      </c>
      <c r="G470" s="6" t="n">
        <v>4</v>
      </c>
      <c r="H470" s="6" t="n">
        <v>5</v>
      </c>
      <c r="I470" s="6" t="n">
        <v>9</v>
      </c>
      <c r="J470" s="6" t="n">
        <v>8</v>
      </c>
      <c r="K470" s="7" t="n">
        <f aca="false">SUM(D470:J470)</f>
        <v>41</v>
      </c>
    </row>
    <row r="471" customFormat="false" ht="15" hidden="false" customHeight="false" outlineLevel="0" collapsed="false">
      <c r="A471" s="42"/>
      <c r="B471" s="42"/>
      <c r="C471" s="44" t="s">
        <v>14</v>
      </c>
      <c r="D471" s="9" t="n">
        <v>5.2</v>
      </c>
      <c r="E471" s="9" t="n">
        <v>5.2</v>
      </c>
      <c r="F471" s="9" t="n">
        <v>3.7</v>
      </c>
      <c r="G471" s="9" t="n">
        <v>3.9</v>
      </c>
      <c r="H471" s="9" t="n">
        <v>3.9</v>
      </c>
      <c r="I471" s="9" t="n">
        <v>9.9</v>
      </c>
      <c r="J471" s="9" t="n">
        <v>9.9</v>
      </c>
      <c r="K471" s="10" t="n">
        <f aca="false">SUM(D471:J471)</f>
        <v>41.7</v>
      </c>
    </row>
    <row r="472" customFormat="false" ht="15" hidden="false" customHeight="false" outlineLevel="0" collapsed="false">
      <c r="A472" s="42"/>
      <c r="B472" s="42"/>
      <c r="C472" s="11" t="s">
        <v>41</v>
      </c>
      <c r="D472" s="14" t="n">
        <f aca="false">IFERROR((D471-D470)/D470,0)</f>
        <v>0.04</v>
      </c>
      <c r="E472" s="14" t="n">
        <f aca="false">IFERROR((E471-E470)/E470,0)</f>
        <v>-0.257142857142857</v>
      </c>
      <c r="F472" s="14" t="n">
        <f aca="false">IFERROR((F471-F470)/F470,0)</f>
        <v>0.233333333333333</v>
      </c>
      <c r="G472" s="14" t="n">
        <f aca="false">IFERROR((G471-G470)/G470,0)</f>
        <v>-0.025</v>
      </c>
      <c r="H472" s="14" t="n">
        <f aca="false">IFERROR((H471-H470)/H470,0)</f>
        <v>-0.22</v>
      </c>
      <c r="I472" s="14" t="n">
        <f aca="false">IFERROR((I471-I470)/I470,0)</f>
        <v>0.1</v>
      </c>
      <c r="J472" s="14" t="n">
        <f aca="false">IFERROR((J471-J470)/J470,0)</f>
        <v>0.2375</v>
      </c>
      <c r="K472" s="15" t="n">
        <f aca="false">IFERROR((SUM(D471:J471)-SUM(D470:J470))/SUM(D470:J470),0)</f>
        <v>0.0170731707317074</v>
      </c>
    </row>
    <row r="473" customFormat="false" ht="15" hidden="false" customHeight="true" outlineLevel="0" collapsed="false">
      <c r="A473" s="42" t="s">
        <v>427</v>
      </c>
      <c r="B473" s="43" t="s">
        <v>428</v>
      </c>
      <c r="C473" s="5" t="s">
        <v>26</v>
      </c>
      <c r="D473" s="6" t="n">
        <v>4</v>
      </c>
      <c r="E473" s="6" t="n">
        <v>5</v>
      </c>
      <c r="F473" s="6" t="n">
        <v>4</v>
      </c>
      <c r="G473" s="6" t="n">
        <v>21</v>
      </c>
      <c r="H473" s="6" t="n">
        <v>6</v>
      </c>
      <c r="I473" s="6" t="n">
        <v>0</v>
      </c>
      <c r="J473" s="6" t="n">
        <v>0</v>
      </c>
      <c r="K473" s="7" t="n">
        <f aca="false">SUM(D473:J473)</f>
        <v>40</v>
      </c>
    </row>
    <row r="474" customFormat="false" ht="15" hidden="false" customHeight="false" outlineLevel="0" collapsed="false">
      <c r="A474" s="42"/>
      <c r="B474" s="42"/>
      <c r="C474" s="44" t="s">
        <v>14</v>
      </c>
      <c r="D474" s="9" t="n">
        <v>3.6</v>
      </c>
      <c r="E474" s="9" t="n">
        <v>4.6</v>
      </c>
      <c r="F474" s="9" t="n">
        <v>4.7</v>
      </c>
      <c r="G474" s="9" t="n">
        <v>5.3</v>
      </c>
      <c r="H474" s="9" t="n">
        <v>5.5</v>
      </c>
      <c r="I474" s="9" t="n">
        <v>0</v>
      </c>
      <c r="J474" s="9" t="n">
        <v>0</v>
      </c>
      <c r="K474" s="10" t="n">
        <f aca="false">SUM(D474:J474)</f>
        <v>23.7</v>
      </c>
    </row>
    <row r="475" customFormat="false" ht="15" hidden="false" customHeight="false" outlineLevel="0" collapsed="false">
      <c r="A475" s="42"/>
      <c r="B475" s="42"/>
      <c r="C475" s="11" t="s">
        <v>41</v>
      </c>
      <c r="D475" s="14" t="n">
        <f aca="false">IFERROR((D474-D473)/D473,0)</f>
        <v>-0.1</v>
      </c>
      <c r="E475" s="14" t="n">
        <f aca="false">IFERROR((E474-E473)/E473,0)</f>
        <v>-0.0800000000000001</v>
      </c>
      <c r="F475" s="14" t="n">
        <f aca="false">IFERROR((F474-F473)/F473,0)</f>
        <v>0.175</v>
      </c>
      <c r="G475" s="14" t="n">
        <f aca="false">IFERROR((G474-G473)/G473,0)</f>
        <v>-0.747619047619048</v>
      </c>
      <c r="H475" s="14" t="n">
        <f aca="false">IFERROR((H474-H473)/H473,0)</f>
        <v>-0.0833333333333333</v>
      </c>
      <c r="I475" s="14" t="n">
        <f aca="false">IFERROR((I474-I473)/I473,0)</f>
        <v>0</v>
      </c>
      <c r="J475" s="14" t="n">
        <f aca="false">IFERROR((J474-J473)/J473,0)</f>
        <v>0</v>
      </c>
      <c r="K475" s="15" t="n">
        <f aca="false">IFERROR((SUM(D474:J474)-SUM(D473:J473))/SUM(D473:J473),0)</f>
        <v>-0.4075</v>
      </c>
    </row>
    <row r="476" customFormat="false" ht="15" hidden="false" customHeight="true" outlineLevel="0" collapsed="false">
      <c r="A476" s="42" t="s">
        <v>429</v>
      </c>
      <c r="B476" s="43" t="s">
        <v>430</v>
      </c>
      <c r="C476" s="5" t="s">
        <v>26</v>
      </c>
      <c r="D476" s="6" t="n">
        <v>17</v>
      </c>
      <c r="E476" s="6" t="n">
        <v>4</v>
      </c>
      <c r="F476" s="6" t="n">
        <v>5</v>
      </c>
      <c r="G476" s="6" t="n">
        <v>6</v>
      </c>
      <c r="H476" s="6" t="n">
        <v>2</v>
      </c>
      <c r="I476" s="6" t="n">
        <v>3</v>
      </c>
      <c r="J476" s="6" t="n">
        <v>2</v>
      </c>
      <c r="K476" s="7" t="n">
        <f aca="false">SUM(D476:J476)</f>
        <v>39</v>
      </c>
    </row>
    <row r="477" customFormat="false" ht="15" hidden="false" customHeight="false" outlineLevel="0" collapsed="false">
      <c r="A477" s="42"/>
      <c r="B477" s="42"/>
      <c r="C477" s="44" t="s">
        <v>14</v>
      </c>
      <c r="D477" s="9" t="n">
        <v>5</v>
      </c>
      <c r="E477" s="9" t="n">
        <v>5.3</v>
      </c>
      <c r="F477" s="9" t="n">
        <v>4.3</v>
      </c>
      <c r="G477" s="9" t="n">
        <v>3.7</v>
      </c>
      <c r="H477" s="9" t="n">
        <v>6.7</v>
      </c>
      <c r="I477" s="9" t="n">
        <v>13.4</v>
      </c>
      <c r="J477" s="9" t="n">
        <v>7.8</v>
      </c>
      <c r="K477" s="10" t="n">
        <f aca="false">SUM(D477:J477)</f>
        <v>46.2</v>
      </c>
    </row>
    <row r="478" customFormat="false" ht="15" hidden="false" customHeight="false" outlineLevel="0" collapsed="false">
      <c r="A478" s="42"/>
      <c r="B478" s="42"/>
      <c r="C478" s="11" t="s">
        <v>41</v>
      </c>
      <c r="D478" s="14" t="n">
        <f aca="false">IFERROR((D477-D476)/D476,0)</f>
        <v>-0.705882352941177</v>
      </c>
      <c r="E478" s="14" t="n">
        <f aca="false">IFERROR((E477-E476)/E476,0)</f>
        <v>0.325</v>
      </c>
      <c r="F478" s="14" t="n">
        <f aca="false">IFERROR((F477-F476)/F476,0)</f>
        <v>-0.14</v>
      </c>
      <c r="G478" s="14" t="n">
        <f aca="false">IFERROR((G477-G476)/G476,0)</f>
        <v>-0.383333333333333</v>
      </c>
      <c r="H478" s="14" t="n">
        <f aca="false">IFERROR((H477-H476)/H476,0)</f>
        <v>2.35</v>
      </c>
      <c r="I478" s="14" t="n">
        <f aca="false">IFERROR((I477-I476)/I476,0)</f>
        <v>3.46666666666667</v>
      </c>
      <c r="J478" s="14" t="n">
        <f aca="false">IFERROR((J477-J476)/J476,0)</f>
        <v>2.9</v>
      </c>
      <c r="K478" s="15" t="n">
        <f aca="false">IFERROR((SUM(D477:J477)-SUM(D476:J476))/SUM(D476:J476),0)</f>
        <v>0.184615384615385</v>
      </c>
    </row>
    <row r="479" customFormat="false" ht="15" hidden="false" customHeight="true" outlineLevel="0" collapsed="false">
      <c r="A479" s="42" t="s">
        <v>431</v>
      </c>
      <c r="B479" s="43" t="s">
        <v>432</v>
      </c>
      <c r="C479" s="5" t="s">
        <v>26</v>
      </c>
      <c r="D479" s="6" t="n">
        <v>9</v>
      </c>
      <c r="E479" s="6" t="n">
        <v>4</v>
      </c>
      <c r="F479" s="6" t="n">
        <v>8</v>
      </c>
      <c r="G479" s="6" t="n">
        <v>2</v>
      </c>
      <c r="H479" s="6" t="n">
        <v>1</v>
      </c>
      <c r="I479" s="6" t="n">
        <v>8</v>
      </c>
      <c r="J479" s="6" t="n">
        <v>6</v>
      </c>
      <c r="K479" s="7" t="n">
        <f aca="false">SUM(D479:J479)</f>
        <v>38</v>
      </c>
    </row>
    <row r="480" customFormat="false" ht="15" hidden="false" customHeight="false" outlineLevel="0" collapsed="false">
      <c r="A480" s="42"/>
      <c r="B480" s="42"/>
      <c r="C480" s="44" t="s">
        <v>14</v>
      </c>
      <c r="D480" s="9" t="n">
        <v>6.4</v>
      </c>
      <c r="E480" s="9" t="n">
        <v>5.7</v>
      </c>
      <c r="F480" s="9" t="n">
        <v>5.7</v>
      </c>
      <c r="G480" s="9" t="n">
        <v>3.8</v>
      </c>
      <c r="H480" s="9" t="n">
        <v>4.8</v>
      </c>
      <c r="I480" s="9" t="n">
        <v>7.4</v>
      </c>
      <c r="J480" s="9" t="n">
        <v>8.8</v>
      </c>
      <c r="K480" s="10" t="n">
        <f aca="false">SUM(D480:J480)</f>
        <v>42.6</v>
      </c>
    </row>
    <row r="481" customFormat="false" ht="15" hidden="false" customHeight="false" outlineLevel="0" collapsed="false">
      <c r="A481" s="42"/>
      <c r="B481" s="42"/>
      <c r="C481" s="11" t="s">
        <v>41</v>
      </c>
      <c r="D481" s="14" t="n">
        <f aca="false">IFERROR((D480-D479)/D479,0)</f>
        <v>-0.288888888888889</v>
      </c>
      <c r="E481" s="14" t="n">
        <f aca="false">IFERROR((E480-E479)/E479,0)</f>
        <v>0.425</v>
      </c>
      <c r="F481" s="14" t="n">
        <f aca="false">IFERROR((F480-F479)/F479,0)</f>
        <v>-0.2875</v>
      </c>
      <c r="G481" s="14" t="n">
        <f aca="false">IFERROR((G480-G479)/G479,0)</f>
        <v>0.9</v>
      </c>
      <c r="H481" s="14" t="n">
        <f aca="false">IFERROR((H480-H479)/H479,0)</f>
        <v>3.8</v>
      </c>
      <c r="I481" s="14" t="n">
        <f aca="false">IFERROR((I480-I479)/I479,0)</f>
        <v>-0.075</v>
      </c>
      <c r="J481" s="14" t="n">
        <f aca="false">IFERROR((J480-J479)/J479,0)</f>
        <v>0.466666666666667</v>
      </c>
      <c r="K481" s="15" t="n">
        <f aca="false">IFERROR((SUM(D480:J480)-SUM(D479:J479))/SUM(D479:J479),0)</f>
        <v>0.121052631578947</v>
      </c>
    </row>
    <row r="482" customFormat="false" ht="15" hidden="false" customHeight="true" outlineLevel="0" collapsed="false">
      <c r="A482" s="42" t="s">
        <v>433</v>
      </c>
      <c r="B482" s="43" t="s">
        <v>434</v>
      </c>
      <c r="C482" s="5" t="s">
        <v>26</v>
      </c>
      <c r="D482" s="6" t="n">
        <v>8</v>
      </c>
      <c r="E482" s="6" t="n">
        <v>6</v>
      </c>
      <c r="F482" s="6" t="n">
        <v>3</v>
      </c>
      <c r="G482" s="6" t="n">
        <v>6</v>
      </c>
      <c r="H482" s="6" t="n">
        <v>2</v>
      </c>
      <c r="I482" s="6" t="n">
        <v>9</v>
      </c>
      <c r="J482" s="6" t="n">
        <v>3</v>
      </c>
      <c r="K482" s="7" t="n">
        <f aca="false">SUM(D482:J482)</f>
        <v>37</v>
      </c>
    </row>
    <row r="483" customFormat="false" ht="15" hidden="false" customHeight="false" outlineLevel="0" collapsed="false">
      <c r="A483" s="42"/>
      <c r="B483" s="42"/>
      <c r="C483" s="44" t="s">
        <v>14</v>
      </c>
      <c r="D483" s="9" t="n">
        <v>5.8</v>
      </c>
      <c r="E483" s="9" t="n">
        <v>6.8</v>
      </c>
      <c r="F483" s="9" t="n">
        <v>5.8</v>
      </c>
      <c r="G483" s="9" t="n">
        <v>5.2</v>
      </c>
      <c r="H483" s="9" t="n">
        <v>6.7</v>
      </c>
      <c r="I483" s="9" t="n">
        <v>12.9</v>
      </c>
      <c r="J483" s="9" t="n">
        <v>7.8</v>
      </c>
      <c r="K483" s="10" t="n">
        <f aca="false">SUM(D483:J483)</f>
        <v>51</v>
      </c>
    </row>
    <row r="484" customFormat="false" ht="15" hidden="false" customHeight="false" outlineLevel="0" collapsed="false">
      <c r="A484" s="42"/>
      <c r="B484" s="42"/>
      <c r="C484" s="11" t="s">
        <v>41</v>
      </c>
      <c r="D484" s="14" t="n">
        <f aca="false">IFERROR((D483-D482)/D482,0)</f>
        <v>-0.275</v>
      </c>
      <c r="E484" s="14" t="n">
        <f aca="false">IFERROR((E483-E482)/E482,0)</f>
        <v>0.133333333333333</v>
      </c>
      <c r="F484" s="14" t="n">
        <f aca="false">IFERROR((F483-F482)/F482,0)</f>
        <v>0.933333333333333</v>
      </c>
      <c r="G484" s="14" t="n">
        <f aca="false">IFERROR((G483-G482)/G482,0)</f>
        <v>-0.133333333333333</v>
      </c>
      <c r="H484" s="14" t="n">
        <f aca="false">IFERROR((H483-H482)/H482,0)</f>
        <v>2.35</v>
      </c>
      <c r="I484" s="14" t="n">
        <f aca="false">IFERROR((I483-I482)/I482,0)</f>
        <v>0.433333333333333</v>
      </c>
      <c r="J484" s="14" t="n">
        <f aca="false">IFERROR((J483-J482)/J482,0)</f>
        <v>1.6</v>
      </c>
      <c r="K484" s="15" t="n">
        <f aca="false">IFERROR((SUM(D483:J483)-SUM(D482:J482))/SUM(D482:J482),0)</f>
        <v>0.378378378378378</v>
      </c>
    </row>
    <row r="485" customFormat="false" ht="15" hidden="false" customHeight="true" outlineLevel="0" collapsed="false">
      <c r="A485" s="42" t="s">
        <v>435</v>
      </c>
      <c r="B485" s="43" t="s">
        <v>436</v>
      </c>
      <c r="C485" s="5" t="s">
        <v>26</v>
      </c>
      <c r="D485" s="6" t="n">
        <v>2</v>
      </c>
      <c r="E485" s="6" t="n">
        <v>3</v>
      </c>
      <c r="F485" s="6" t="n">
        <v>5</v>
      </c>
      <c r="G485" s="6" t="n">
        <v>4</v>
      </c>
      <c r="H485" s="6" t="n">
        <v>5</v>
      </c>
      <c r="I485" s="6" t="n">
        <v>14</v>
      </c>
      <c r="J485" s="6" t="n">
        <v>3</v>
      </c>
      <c r="K485" s="7" t="n">
        <f aca="false">SUM(D485:J485)</f>
        <v>36</v>
      </c>
    </row>
    <row r="486" customFormat="false" ht="15" hidden="false" customHeight="false" outlineLevel="0" collapsed="false">
      <c r="A486" s="42"/>
      <c r="B486" s="42"/>
      <c r="C486" s="44" t="s">
        <v>14</v>
      </c>
      <c r="D486" s="9" t="n">
        <v>3.5</v>
      </c>
      <c r="E486" s="9" t="n">
        <v>3.5</v>
      </c>
      <c r="F486" s="9" t="n">
        <v>3.6</v>
      </c>
      <c r="G486" s="9" t="n">
        <v>3.4</v>
      </c>
      <c r="H486" s="9" t="n">
        <v>4</v>
      </c>
      <c r="I486" s="9" t="n">
        <v>9.3</v>
      </c>
      <c r="J486" s="9" t="n">
        <v>8.1</v>
      </c>
      <c r="K486" s="10" t="n">
        <f aca="false">SUM(D486:J486)</f>
        <v>35.4</v>
      </c>
    </row>
    <row r="487" customFormat="false" ht="15" hidden="false" customHeight="false" outlineLevel="0" collapsed="false">
      <c r="A487" s="42"/>
      <c r="B487" s="42"/>
      <c r="C487" s="11" t="s">
        <v>41</v>
      </c>
      <c r="D487" s="14" t="n">
        <f aca="false">IFERROR((D486-D485)/D485,0)</f>
        <v>0.75</v>
      </c>
      <c r="E487" s="14" t="n">
        <f aca="false">IFERROR((E486-E485)/E485,0)</f>
        <v>0.166666666666667</v>
      </c>
      <c r="F487" s="14" t="n">
        <f aca="false">IFERROR((F486-F485)/F485,0)</f>
        <v>-0.28</v>
      </c>
      <c r="G487" s="14" t="n">
        <f aca="false">IFERROR((G486-G485)/G485,0)</f>
        <v>-0.15</v>
      </c>
      <c r="H487" s="14" t="n">
        <f aca="false">IFERROR((H486-H485)/H485,0)</f>
        <v>-0.2</v>
      </c>
      <c r="I487" s="14" t="n">
        <f aca="false">IFERROR((I486-I485)/I485,0)</f>
        <v>-0.335714285714286</v>
      </c>
      <c r="J487" s="14" t="n">
        <f aca="false">IFERROR((J486-J485)/J485,0)</f>
        <v>1.7</v>
      </c>
      <c r="K487" s="15" t="n">
        <f aca="false">IFERROR((SUM(D486:J486)-SUM(D485:J485))/SUM(D485:J485),0)</f>
        <v>-0.0166666666666667</v>
      </c>
    </row>
    <row r="488" customFormat="false" ht="15" hidden="false" customHeight="true" outlineLevel="0" collapsed="false">
      <c r="A488" s="42" t="s">
        <v>437</v>
      </c>
      <c r="B488" s="43" t="s">
        <v>412</v>
      </c>
      <c r="C488" s="5" t="s">
        <v>26</v>
      </c>
      <c r="D488" s="6" t="n">
        <v>9</v>
      </c>
      <c r="E488" s="6" t="n">
        <v>5</v>
      </c>
      <c r="F488" s="6" t="n">
        <v>6</v>
      </c>
      <c r="G488" s="6" t="n">
        <v>4</v>
      </c>
      <c r="H488" s="6" t="n">
        <v>3</v>
      </c>
      <c r="I488" s="6" t="n">
        <v>4</v>
      </c>
      <c r="J488" s="6" t="n">
        <v>3</v>
      </c>
      <c r="K488" s="7" t="n">
        <f aca="false">SUM(D488:J488)</f>
        <v>34</v>
      </c>
    </row>
    <row r="489" customFormat="false" ht="15" hidden="false" customHeight="false" outlineLevel="0" collapsed="false">
      <c r="A489" s="42"/>
      <c r="B489" s="42"/>
      <c r="C489" s="44" t="s">
        <v>14</v>
      </c>
      <c r="D489" s="9" t="n">
        <v>6.7</v>
      </c>
      <c r="E489" s="9" t="n">
        <v>4.1</v>
      </c>
      <c r="F489" s="9" t="n">
        <v>5.8</v>
      </c>
      <c r="G489" s="9" t="n">
        <v>3.9</v>
      </c>
      <c r="H489" s="9" t="n">
        <v>4.3</v>
      </c>
      <c r="I489" s="9" t="n">
        <v>5.8</v>
      </c>
      <c r="J489" s="9" t="n">
        <v>6.6</v>
      </c>
      <c r="K489" s="10" t="n">
        <f aca="false">SUM(D489:J489)</f>
        <v>37.2</v>
      </c>
    </row>
    <row r="490" customFormat="false" ht="15" hidden="false" customHeight="false" outlineLevel="0" collapsed="false">
      <c r="A490" s="42"/>
      <c r="B490" s="42"/>
      <c r="C490" s="11" t="s">
        <v>41</v>
      </c>
      <c r="D490" s="14" t="n">
        <f aca="false">IFERROR((D489-D488)/D488,0)</f>
        <v>-0.255555555555556</v>
      </c>
      <c r="E490" s="14" t="n">
        <f aca="false">IFERROR((E489-E488)/E488,0)</f>
        <v>-0.18</v>
      </c>
      <c r="F490" s="14" t="n">
        <f aca="false">IFERROR((F489-F488)/F488,0)</f>
        <v>-0.0333333333333334</v>
      </c>
      <c r="G490" s="14" t="n">
        <f aca="false">IFERROR((G489-G488)/G488,0)</f>
        <v>-0.025</v>
      </c>
      <c r="H490" s="14" t="n">
        <f aca="false">IFERROR((H489-H488)/H488,0)</f>
        <v>0.433333333333333</v>
      </c>
      <c r="I490" s="14" t="n">
        <f aca="false">IFERROR((I489-I488)/I488,0)</f>
        <v>0.45</v>
      </c>
      <c r="J490" s="14" t="n">
        <f aca="false">IFERROR((J489-J488)/J488,0)</f>
        <v>1.2</v>
      </c>
      <c r="K490" s="15" t="n">
        <f aca="false">IFERROR((SUM(D489:J489)-SUM(D488:J488))/SUM(D488:J488),0)</f>
        <v>0.0941176470588234</v>
      </c>
    </row>
    <row r="491" customFormat="false" ht="15" hidden="false" customHeight="true" outlineLevel="0" collapsed="false">
      <c r="A491" s="42" t="s">
        <v>438</v>
      </c>
      <c r="B491" s="43" t="s">
        <v>439</v>
      </c>
      <c r="C491" s="5" t="s">
        <v>26</v>
      </c>
      <c r="D491" s="6" t="n">
        <v>10</v>
      </c>
      <c r="E491" s="6" t="n">
        <v>4</v>
      </c>
      <c r="F491" s="6" t="n">
        <v>3</v>
      </c>
      <c r="G491" s="6" t="n">
        <v>7</v>
      </c>
      <c r="H491" s="6" t="n">
        <v>4</v>
      </c>
      <c r="I491" s="6" t="n">
        <v>5</v>
      </c>
      <c r="J491" s="6" t="n">
        <v>1</v>
      </c>
      <c r="K491" s="7" t="n">
        <f aca="false">SUM(D491:J491)</f>
        <v>34</v>
      </c>
    </row>
    <row r="492" customFormat="false" ht="15" hidden="false" customHeight="false" outlineLevel="0" collapsed="false">
      <c r="A492" s="42"/>
      <c r="B492" s="42"/>
      <c r="C492" s="44" t="s">
        <v>14</v>
      </c>
      <c r="D492" s="9" t="n">
        <v>2.7</v>
      </c>
      <c r="E492" s="9" t="n">
        <v>2.7</v>
      </c>
      <c r="F492" s="9" t="n">
        <v>3</v>
      </c>
      <c r="G492" s="9" t="n">
        <v>4</v>
      </c>
      <c r="H492" s="9" t="n">
        <v>4.5</v>
      </c>
      <c r="I492" s="9" t="n">
        <v>3.4</v>
      </c>
      <c r="J492" s="9" t="n">
        <v>5.8</v>
      </c>
      <c r="K492" s="10" t="n">
        <f aca="false">SUM(D492:J492)</f>
        <v>26.1</v>
      </c>
    </row>
    <row r="493" customFormat="false" ht="15" hidden="false" customHeight="false" outlineLevel="0" collapsed="false">
      <c r="A493" s="42"/>
      <c r="B493" s="42"/>
      <c r="C493" s="11" t="s">
        <v>41</v>
      </c>
      <c r="D493" s="14" t="n">
        <f aca="false">IFERROR((D492-D491)/D491,0)</f>
        <v>-0.73</v>
      </c>
      <c r="E493" s="14" t="n">
        <f aca="false">IFERROR((E492-E491)/E491,0)</f>
        <v>-0.325</v>
      </c>
      <c r="F493" s="14" t="n">
        <f aca="false">IFERROR((F492-F491)/F491,0)</f>
        <v>0</v>
      </c>
      <c r="G493" s="14" t="n">
        <f aca="false">IFERROR((G492-G491)/G491,0)</f>
        <v>-0.428571428571429</v>
      </c>
      <c r="H493" s="14" t="n">
        <f aca="false">IFERROR((H492-H491)/H491,0)</f>
        <v>0.125</v>
      </c>
      <c r="I493" s="14" t="n">
        <f aca="false">IFERROR((I492-I491)/I491,0)</f>
        <v>-0.32</v>
      </c>
      <c r="J493" s="14" t="n">
        <f aca="false">IFERROR((J492-J491)/J491,0)</f>
        <v>4.8</v>
      </c>
      <c r="K493" s="15" t="n">
        <f aca="false">IFERROR((SUM(D492:J492)-SUM(D491:J491))/SUM(D491:J491),0)</f>
        <v>-0.232352941176471</v>
      </c>
    </row>
    <row r="494" customFormat="false" ht="15" hidden="false" customHeight="true" outlineLevel="0" collapsed="false">
      <c r="A494" s="42" t="s">
        <v>440</v>
      </c>
      <c r="B494" s="43" t="s">
        <v>441</v>
      </c>
      <c r="C494" s="5" t="s">
        <v>26</v>
      </c>
      <c r="D494" s="6" t="n">
        <v>13</v>
      </c>
      <c r="E494" s="6" t="n">
        <v>0</v>
      </c>
      <c r="F494" s="6" t="n">
        <v>2</v>
      </c>
      <c r="G494" s="6" t="n">
        <v>7</v>
      </c>
      <c r="H494" s="6" t="n">
        <v>2</v>
      </c>
      <c r="I494" s="6" t="n">
        <v>4</v>
      </c>
      <c r="J494" s="6" t="n">
        <v>4</v>
      </c>
      <c r="K494" s="7" t="n">
        <f aca="false">SUM(D494:J494)</f>
        <v>32</v>
      </c>
    </row>
    <row r="495" customFormat="false" ht="15" hidden="false" customHeight="false" outlineLevel="0" collapsed="false">
      <c r="A495" s="42"/>
      <c r="B495" s="42"/>
      <c r="C495" s="44" t="s">
        <v>14</v>
      </c>
      <c r="D495" s="9" t="n">
        <v>4.2</v>
      </c>
      <c r="E495" s="9" t="n">
        <v>4.4</v>
      </c>
      <c r="F495" s="9" t="n">
        <v>2.2</v>
      </c>
      <c r="G495" s="9" t="n">
        <v>2.4</v>
      </c>
      <c r="H495" s="9" t="n">
        <v>4.7</v>
      </c>
      <c r="I495" s="9" t="n">
        <v>11.4</v>
      </c>
      <c r="J495" s="9" t="n">
        <v>7.7</v>
      </c>
      <c r="K495" s="10" t="n">
        <f aca="false">SUM(D495:J495)</f>
        <v>37</v>
      </c>
    </row>
    <row r="496" customFormat="false" ht="15" hidden="false" customHeight="false" outlineLevel="0" collapsed="false">
      <c r="A496" s="42"/>
      <c r="B496" s="42"/>
      <c r="C496" s="11" t="s">
        <v>41</v>
      </c>
      <c r="D496" s="14" t="n">
        <f aca="false">IFERROR((D495-D494)/D494,0)</f>
        <v>-0.676923076923077</v>
      </c>
      <c r="E496" s="14" t="n">
        <f aca="false">IFERROR((E495-E494)/E494,0)</f>
        <v>0</v>
      </c>
      <c r="F496" s="14" t="n">
        <f aca="false">IFERROR((F495-F494)/F494,0)</f>
        <v>0.1</v>
      </c>
      <c r="G496" s="14" t="n">
        <f aca="false">IFERROR((G495-G494)/G494,0)</f>
        <v>-0.657142857142857</v>
      </c>
      <c r="H496" s="14" t="n">
        <f aca="false">IFERROR((H495-H494)/H494,0)</f>
        <v>1.35</v>
      </c>
      <c r="I496" s="14" t="n">
        <f aca="false">IFERROR((I495-I494)/I494,0)</f>
        <v>1.85</v>
      </c>
      <c r="J496" s="14" t="n">
        <f aca="false">IFERROR((J495-J494)/J494,0)</f>
        <v>0.925</v>
      </c>
      <c r="K496" s="15" t="n">
        <f aca="false">IFERROR((SUM(D495:J495)-SUM(D494:J494))/SUM(D494:J494),0)</f>
        <v>0.15625</v>
      </c>
    </row>
    <row r="497" customFormat="false" ht="15" hidden="false" customHeight="true" outlineLevel="0" collapsed="false">
      <c r="A497" s="42" t="s">
        <v>442</v>
      </c>
      <c r="B497" s="43" t="s">
        <v>443</v>
      </c>
      <c r="C497" s="5" t="s">
        <v>26</v>
      </c>
      <c r="D497" s="6" t="n">
        <v>6</v>
      </c>
      <c r="E497" s="6" t="n">
        <v>8</v>
      </c>
      <c r="F497" s="6" t="n">
        <v>3</v>
      </c>
      <c r="G497" s="6" t="n">
        <v>3</v>
      </c>
      <c r="H497" s="6" t="n">
        <v>1</v>
      </c>
      <c r="I497" s="6" t="n">
        <v>8</v>
      </c>
      <c r="J497" s="6" t="n">
        <v>3</v>
      </c>
      <c r="K497" s="7" t="n">
        <f aca="false">SUM(D497:J497)</f>
        <v>32</v>
      </c>
    </row>
    <row r="498" customFormat="false" ht="15" hidden="false" customHeight="false" outlineLevel="0" collapsed="false">
      <c r="A498" s="42"/>
      <c r="B498" s="42"/>
      <c r="C498" s="44" t="s">
        <v>14</v>
      </c>
      <c r="D498" s="9" t="n">
        <v>4.5</v>
      </c>
      <c r="E498" s="9" t="n">
        <v>5</v>
      </c>
      <c r="F498" s="9" t="n">
        <v>6.4</v>
      </c>
      <c r="G498" s="9" t="n">
        <v>3.9</v>
      </c>
      <c r="H498" s="9" t="n">
        <v>3.3</v>
      </c>
      <c r="I498" s="9" t="n">
        <v>5.5</v>
      </c>
      <c r="J498" s="9" t="n">
        <v>7.7</v>
      </c>
      <c r="K498" s="10" t="n">
        <f aca="false">SUM(D498:J498)</f>
        <v>36.3</v>
      </c>
    </row>
    <row r="499" customFormat="false" ht="15" hidden="false" customHeight="false" outlineLevel="0" collapsed="false">
      <c r="A499" s="42"/>
      <c r="B499" s="42"/>
      <c r="C499" s="11" t="s">
        <v>41</v>
      </c>
      <c r="D499" s="14" t="n">
        <f aca="false">IFERROR((D498-D497)/D497,0)</f>
        <v>-0.25</v>
      </c>
      <c r="E499" s="14" t="n">
        <f aca="false">IFERROR((E498-E497)/E497,0)</f>
        <v>-0.375</v>
      </c>
      <c r="F499" s="14" t="n">
        <f aca="false">IFERROR((F498-F497)/F497,0)</f>
        <v>1.13333333333333</v>
      </c>
      <c r="G499" s="14" t="n">
        <f aca="false">IFERROR((G498-G497)/G497,0)</f>
        <v>0.3</v>
      </c>
      <c r="H499" s="14" t="n">
        <f aca="false">IFERROR((H498-H497)/H497,0)</f>
        <v>2.3</v>
      </c>
      <c r="I499" s="14" t="n">
        <f aca="false">IFERROR((I498-I497)/I497,0)</f>
        <v>-0.3125</v>
      </c>
      <c r="J499" s="14" t="n">
        <f aca="false">IFERROR((J498-J497)/J497,0)</f>
        <v>1.56666666666667</v>
      </c>
      <c r="K499" s="15" t="n">
        <f aca="false">IFERROR((SUM(D498:J498)-SUM(D497:J497))/SUM(D497:J497),0)</f>
        <v>0.134375</v>
      </c>
    </row>
    <row r="500" customFormat="false" ht="15" hidden="false" customHeight="true" outlineLevel="0" collapsed="false">
      <c r="A500" s="42" t="s">
        <v>444</v>
      </c>
      <c r="B500" s="43" t="s">
        <v>445</v>
      </c>
      <c r="C500" s="5" t="s">
        <v>26</v>
      </c>
      <c r="D500" s="6" t="n">
        <v>4</v>
      </c>
      <c r="E500" s="6" t="n">
        <v>7</v>
      </c>
      <c r="F500" s="6" t="n">
        <v>4</v>
      </c>
      <c r="G500" s="6" t="n">
        <v>10</v>
      </c>
      <c r="H500" s="6" t="n">
        <v>2</v>
      </c>
      <c r="I500" s="6" t="n">
        <v>2</v>
      </c>
      <c r="J500" s="6" t="n">
        <v>2</v>
      </c>
      <c r="K500" s="7" t="n">
        <f aca="false">SUM(D500:J500)</f>
        <v>31</v>
      </c>
    </row>
    <row r="501" customFormat="false" ht="15" hidden="false" customHeight="false" outlineLevel="0" collapsed="false">
      <c r="A501" s="42"/>
      <c r="B501" s="42"/>
      <c r="C501" s="44" t="s">
        <v>14</v>
      </c>
      <c r="D501" s="9" t="n">
        <v>5.4</v>
      </c>
      <c r="E501" s="9" t="n">
        <v>3</v>
      </c>
      <c r="F501" s="9" t="n">
        <v>6.8</v>
      </c>
      <c r="G501" s="9" t="n">
        <v>6.7</v>
      </c>
      <c r="H501" s="9" t="n">
        <v>9.3</v>
      </c>
      <c r="I501" s="9" t="n">
        <v>11.4</v>
      </c>
      <c r="J501" s="9" t="n">
        <v>3.7</v>
      </c>
      <c r="K501" s="10" t="n">
        <f aca="false">SUM(D501:J501)</f>
        <v>46.3</v>
      </c>
    </row>
    <row r="502" customFormat="false" ht="15" hidden="false" customHeight="false" outlineLevel="0" collapsed="false">
      <c r="A502" s="42"/>
      <c r="B502" s="42"/>
      <c r="C502" s="11" t="s">
        <v>41</v>
      </c>
      <c r="D502" s="14" t="n">
        <f aca="false">IFERROR((D501-D500)/D500,0)</f>
        <v>0.35</v>
      </c>
      <c r="E502" s="14" t="n">
        <f aca="false">IFERROR((E501-E500)/E500,0)</f>
        <v>-0.571428571428571</v>
      </c>
      <c r="F502" s="14" t="n">
        <f aca="false">IFERROR((F501-F500)/F500,0)</f>
        <v>0.7</v>
      </c>
      <c r="G502" s="14" t="n">
        <f aca="false">IFERROR((G501-G500)/G500,0)</f>
        <v>-0.33</v>
      </c>
      <c r="H502" s="14" t="n">
        <f aca="false">IFERROR((H501-H500)/H500,0)</f>
        <v>3.65</v>
      </c>
      <c r="I502" s="14" t="n">
        <f aca="false">IFERROR((I501-I500)/I500,0)</f>
        <v>4.7</v>
      </c>
      <c r="J502" s="14" t="n">
        <f aca="false">IFERROR((J501-J500)/J500,0)</f>
        <v>0.85</v>
      </c>
      <c r="K502" s="15" t="n">
        <f aca="false">IFERROR((SUM(D501:J501)-SUM(D500:J500))/SUM(D500:J500),0)</f>
        <v>0.493548387096774</v>
      </c>
    </row>
    <row r="503" customFormat="false" ht="15" hidden="false" customHeight="true" outlineLevel="0" collapsed="false">
      <c r="A503" s="42" t="s">
        <v>446</v>
      </c>
      <c r="B503" s="43" t="s">
        <v>447</v>
      </c>
      <c r="C503" s="5" t="s">
        <v>26</v>
      </c>
      <c r="D503" s="6" t="n">
        <v>1</v>
      </c>
      <c r="E503" s="6" t="n">
        <v>5</v>
      </c>
      <c r="F503" s="6" t="n">
        <v>9</v>
      </c>
      <c r="G503" s="6" t="n">
        <v>0</v>
      </c>
      <c r="H503" s="6" t="n">
        <v>5</v>
      </c>
      <c r="I503" s="6" t="n">
        <v>6</v>
      </c>
      <c r="J503" s="6" t="n">
        <v>3</v>
      </c>
      <c r="K503" s="7" t="n">
        <f aca="false">SUM(D503:J503)</f>
        <v>29</v>
      </c>
    </row>
    <row r="504" customFormat="false" ht="15" hidden="false" customHeight="false" outlineLevel="0" collapsed="false">
      <c r="A504" s="42"/>
      <c r="B504" s="42"/>
      <c r="C504" s="44" t="s">
        <v>14</v>
      </c>
      <c r="D504" s="9" t="n">
        <v>4.1</v>
      </c>
      <c r="E504" s="9" t="n">
        <v>3</v>
      </c>
      <c r="F504" s="9" t="n">
        <v>3.4</v>
      </c>
      <c r="G504" s="9" t="n">
        <v>4</v>
      </c>
      <c r="H504" s="9" t="n">
        <v>4.1</v>
      </c>
      <c r="I504" s="9" t="n">
        <v>11.3</v>
      </c>
      <c r="J504" s="9" t="n">
        <v>8.5</v>
      </c>
      <c r="K504" s="10" t="n">
        <f aca="false">SUM(D504:J504)</f>
        <v>38.4</v>
      </c>
    </row>
    <row r="505" customFormat="false" ht="15" hidden="false" customHeight="false" outlineLevel="0" collapsed="false">
      <c r="A505" s="42"/>
      <c r="B505" s="42"/>
      <c r="C505" s="11" t="s">
        <v>41</v>
      </c>
      <c r="D505" s="14" t="n">
        <f aca="false">IFERROR((D504-D503)/D503,0)</f>
        <v>3.1</v>
      </c>
      <c r="E505" s="14" t="n">
        <f aca="false">IFERROR((E504-E503)/E503,0)</f>
        <v>-0.4</v>
      </c>
      <c r="F505" s="14" t="n">
        <f aca="false">IFERROR((F504-F503)/F503,0)</f>
        <v>-0.622222222222222</v>
      </c>
      <c r="G505" s="14" t="n">
        <f aca="false">IFERROR((G504-G503)/G503,0)</f>
        <v>0</v>
      </c>
      <c r="H505" s="14" t="n">
        <f aca="false">IFERROR((H504-H503)/H503,0)</f>
        <v>-0.18</v>
      </c>
      <c r="I505" s="14" t="n">
        <f aca="false">IFERROR((I504-I503)/I503,0)</f>
        <v>0.883333333333333</v>
      </c>
      <c r="J505" s="14" t="n">
        <f aca="false">IFERROR((J504-J503)/J503,0)</f>
        <v>1.83333333333333</v>
      </c>
      <c r="K505" s="15" t="n">
        <f aca="false">IFERROR((SUM(D504:J504)-SUM(D503:J503))/SUM(D503:J503),0)</f>
        <v>0.324137931034483</v>
      </c>
    </row>
    <row r="506" customFormat="false" ht="15" hidden="false" customHeight="true" outlineLevel="0" collapsed="false">
      <c r="A506" s="42" t="s">
        <v>448</v>
      </c>
      <c r="B506" s="43" t="s">
        <v>282</v>
      </c>
      <c r="C506" s="5" t="s">
        <v>26</v>
      </c>
      <c r="D506" s="6" t="n">
        <v>3</v>
      </c>
      <c r="E506" s="6" t="n">
        <v>1</v>
      </c>
      <c r="F506" s="6" t="n">
        <v>7</v>
      </c>
      <c r="G506" s="6" t="n">
        <v>2</v>
      </c>
      <c r="H506" s="6" t="n">
        <v>3</v>
      </c>
      <c r="I506" s="6" t="n">
        <v>5</v>
      </c>
      <c r="J506" s="6" t="n">
        <v>6</v>
      </c>
      <c r="K506" s="7" t="n">
        <f aca="false">SUM(D506:J506)</f>
        <v>27</v>
      </c>
    </row>
    <row r="507" customFormat="false" ht="15" hidden="false" customHeight="false" outlineLevel="0" collapsed="false">
      <c r="A507" s="42"/>
      <c r="B507" s="42"/>
      <c r="C507" s="44" t="s">
        <v>14</v>
      </c>
      <c r="D507" s="9" t="n">
        <v>1.6</v>
      </c>
      <c r="E507" s="9" t="n">
        <v>2.1</v>
      </c>
      <c r="F507" s="9" t="n">
        <v>2.1</v>
      </c>
      <c r="G507" s="9" t="n">
        <v>2</v>
      </c>
      <c r="H507" s="9" t="n">
        <v>2.3</v>
      </c>
      <c r="I507" s="9" t="n">
        <v>6.2</v>
      </c>
      <c r="J507" s="9" t="n">
        <v>5.5</v>
      </c>
      <c r="K507" s="10" t="n">
        <f aca="false">SUM(D507:J507)</f>
        <v>21.8</v>
      </c>
    </row>
    <row r="508" customFormat="false" ht="15" hidden="false" customHeight="false" outlineLevel="0" collapsed="false">
      <c r="A508" s="42"/>
      <c r="B508" s="42"/>
      <c r="C508" s="11" t="s">
        <v>41</v>
      </c>
      <c r="D508" s="14" t="n">
        <f aca="false">IFERROR((D507-D506)/D506,0)</f>
        <v>-0.466666666666667</v>
      </c>
      <c r="E508" s="14" t="n">
        <f aca="false">IFERROR((E507-E506)/E506,0)</f>
        <v>1.1</v>
      </c>
      <c r="F508" s="14" t="n">
        <f aca="false">IFERROR((F507-F506)/F506,0)</f>
        <v>-0.7</v>
      </c>
      <c r="G508" s="14" t="n">
        <f aca="false">IFERROR((G507-G506)/G506,0)</f>
        <v>0</v>
      </c>
      <c r="H508" s="14" t="n">
        <f aca="false">IFERROR((H507-H506)/H506,0)</f>
        <v>-0.233333333333333</v>
      </c>
      <c r="I508" s="14" t="n">
        <f aca="false">IFERROR((I507-I506)/I506,0)</f>
        <v>0.24</v>
      </c>
      <c r="J508" s="14" t="n">
        <f aca="false">IFERROR((J507-J506)/J506,0)</f>
        <v>-0.0833333333333333</v>
      </c>
      <c r="K508" s="15" t="n">
        <f aca="false">IFERROR((SUM(D507:J507)-SUM(D506:J506))/SUM(D506:J506),0)</f>
        <v>-0.192592592592593</v>
      </c>
    </row>
    <row r="509" customFormat="false" ht="15" hidden="false" customHeight="true" outlineLevel="0" collapsed="false">
      <c r="A509" s="42" t="s">
        <v>449</v>
      </c>
      <c r="B509" s="43" t="s">
        <v>450</v>
      </c>
      <c r="C509" s="5" t="s">
        <v>26</v>
      </c>
      <c r="D509" s="6" t="n">
        <v>3</v>
      </c>
      <c r="E509" s="6" t="n">
        <v>3</v>
      </c>
      <c r="F509" s="6" t="n">
        <v>5</v>
      </c>
      <c r="G509" s="6" t="n">
        <v>7</v>
      </c>
      <c r="H509" s="6" t="n">
        <v>1</v>
      </c>
      <c r="I509" s="6" t="n">
        <v>5</v>
      </c>
      <c r="J509" s="6" t="n">
        <v>2</v>
      </c>
      <c r="K509" s="7" t="n">
        <f aca="false">SUM(D509:J509)</f>
        <v>26</v>
      </c>
    </row>
    <row r="510" customFormat="false" ht="15" hidden="false" customHeight="false" outlineLevel="0" collapsed="false">
      <c r="A510" s="42"/>
      <c r="B510" s="42"/>
      <c r="C510" s="44" t="s">
        <v>14</v>
      </c>
      <c r="D510" s="9" t="n">
        <v>4.3</v>
      </c>
      <c r="E510" s="9" t="n">
        <v>3</v>
      </c>
      <c r="F510" s="9" t="n">
        <v>3.7</v>
      </c>
      <c r="G510" s="9" t="n">
        <v>4</v>
      </c>
      <c r="H510" s="9" t="n">
        <v>2.8</v>
      </c>
      <c r="I510" s="9" t="n">
        <v>9.2</v>
      </c>
      <c r="J510" s="9" t="n">
        <v>4.8</v>
      </c>
      <c r="K510" s="10" t="n">
        <f aca="false">SUM(D510:J510)</f>
        <v>31.8</v>
      </c>
    </row>
    <row r="511" customFormat="false" ht="15" hidden="false" customHeight="false" outlineLevel="0" collapsed="false">
      <c r="A511" s="42"/>
      <c r="B511" s="42"/>
      <c r="C511" s="11" t="s">
        <v>41</v>
      </c>
      <c r="D511" s="14" t="n">
        <f aca="false">IFERROR((D510-D509)/D509,0)</f>
        <v>0.433333333333333</v>
      </c>
      <c r="E511" s="14" t="n">
        <f aca="false">IFERROR((E510-E509)/E509,0)</f>
        <v>0</v>
      </c>
      <c r="F511" s="14" t="n">
        <f aca="false">IFERROR((F510-F509)/F509,0)</f>
        <v>-0.26</v>
      </c>
      <c r="G511" s="14" t="n">
        <f aca="false">IFERROR((G510-G509)/G509,0)</f>
        <v>-0.428571428571429</v>
      </c>
      <c r="H511" s="14" t="n">
        <f aca="false">IFERROR((H510-H509)/H509,0)</f>
        <v>1.8</v>
      </c>
      <c r="I511" s="14" t="n">
        <f aca="false">IFERROR((I510-I509)/I509,0)</f>
        <v>0.84</v>
      </c>
      <c r="J511" s="14" t="n">
        <f aca="false">IFERROR((J510-J509)/J509,0)</f>
        <v>1.4</v>
      </c>
      <c r="K511" s="15" t="n">
        <f aca="false">IFERROR((SUM(D510:J510)-SUM(D509:J509))/SUM(D509:J509),0)</f>
        <v>0.223076923076923</v>
      </c>
    </row>
    <row r="512" customFormat="false" ht="15" hidden="false" customHeight="true" outlineLevel="0" collapsed="false">
      <c r="A512" s="42" t="s">
        <v>451</v>
      </c>
      <c r="B512" s="43" t="s">
        <v>452</v>
      </c>
      <c r="C512" s="5" t="s">
        <v>26</v>
      </c>
      <c r="D512" s="6" t="n">
        <v>4</v>
      </c>
      <c r="E512" s="6" t="n">
        <v>3</v>
      </c>
      <c r="F512" s="6" t="n">
        <v>3</v>
      </c>
      <c r="G512" s="6" t="n">
        <v>4</v>
      </c>
      <c r="H512" s="6" t="n">
        <v>1</v>
      </c>
      <c r="I512" s="6" t="n">
        <v>7</v>
      </c>
      <c r="J512" s="6" t="n">
        <v>4</v>
      </c>
      <c r="K512" s="7" t="n">
        <f aca="false">SUM(D512:J512)</f>
        <v>26</v>
      </c>
    </row>
    <row r="513" customFormat="false" ht="15" hidden="false" customHeight="false" outlineLevel="0" collapsed="false">
      <c r="A513" s="42"/>
      <c r="B513" s="42"/>
      <c r="C513" s="44" t="s">
        <v>14</v>
      </c>
      <c r="D513" s="9" t="n">
        <v>2.2</v>
      </c>
      <c r="E513" s="9" t="n">
        <v>2.8</v>
      </c>
      <c r="F513" s="9" t="n">
        <v>4.1</v>
      </c>
      <c r="G513" s="9" t="n">
        <v>3.7</v>
      </c>
      <c r="H513" s="9" t="n">
        <v>1.9</v>
      </c>
      <c r="I513" s="9" t="n">
        <v>7.4</v>
      </c>
      <c r="J513" s="9" t="n">
        <v>8</v>
      </c>
      <c r="K513" s="10" t="n">
        <f aca="false">SUM(D513:J513)</f>
        <v>30.1</v>
      </c>
    </row>
    <row r="514" customFormat="false" ht="15" hidden="false" customHeight="false" outlineLevel="0" collapsed="false">
      <c r="A514" s="42"/>
      <c r="B514" s="42"/>
      <c r="C514" s="11" t="s">
        <v>41</v>
      </c>
      <c r="D514" s="14" t="n">
        <f aca="false">IFERROR((D513-D512)/D512,0)</f>
        <v>-0.45</v>
      </c>
      <c r="E514" s="14" t="n">
        <f aca="false">IFERROR((E513-E512)/E512,0)</f>
        <v>-0.0666666666666667</v>
      </c>
      <c r="F514" s="14" t="n">
        <f aca="false">IFERROR((F513-F512)/F512,0)</f>
        <v>0.366666666666667</v>
      </c>
      <c r="G514" s="14" t="n">
        <f aca="false">IFERROR((G513-G512)/G512,0)</f>
        <v>-0.075</v>
      </c>
      <c r="H514" s="14" t="n">
        <f aca="false">IFERROR((H513-H512)/H512,0)</f>
        <v>0.9</v>
      </c>
      <c r="I514" s="14" t="n">
        <f aca="false">IFERROR((I513-I512)/I512,0)</f>
        <v>0.0571428571428572</v>
      </c>
      <c r="J514" s="14" t="n">
        <f aca="false">IFERROR((J513-J512)/J512,0)</f>
        <v>1</v>
      </c>
      <c r="K514" s="15" t="n">
        <f aca="false">IFERROR((SUM(D513:J513)-SUM(D512:J512))/SUM(D512:J512),0)</f>
        <v>0.157692307692308</v>
      </c>
    </row>
    <row r="515" customFormat="false" ht="15" hidden="false" customHeight="true" outlineLevel="0" collapsed="false">
      <c r="A515" s="42" t="s">
        <v>453</v>
      </c>
      <c r="B515" s="43" t="s">
        <v>434</v>
      </c>
      <c r="C515" s="5" t="s">
        <v>26</v>
      </c>
      <c r="D515" s="6" t="n">
        <v>5</v>
      </c>
      <c r="E515" s="6" t="n">
        <v>5</v>
      </c>
      <c r="F515" s="6" t="n">
        <v>4</v>
      </c>
      <c r="G515" s="6" t="n">
        <v>3</v>
      </c>
      <c r="H515" s="6" t="n">
        <v>3</v>
      </c>
      <c r="I515" s="6" t="n">
        <v>4</v>
      </c>
      <c r="J515" s="6" t="n">
        <v>1</v>
      </c>
      <c r="K515" s="7" t="n">
        <f aca="false">SUM(D515:J515)</f>
        <v>25</v>
      </c>
    </row>
    <row r="516" customFormat="false" ht="15" hidden="false" customHeight="false" outlineLevel="0" collapsed="false">
      <c r="A516" s="42"/>
      <c r="B516" s="42"/>
      <c r="C516" s="44" t="s">
        <v>14</v>
      </c>
      <c r="D516" s="9" t="n">
        <v>6.8</v>
      </c>
      <c r="E516" s="9" t="n">
        <v>4.7</v>
      </c>
      <c r="F516" s="9" t="n">
        <v>3.8</v>
      </c>
      <c r="G516" s="9" t="n">
        <v>3.9</v>
      </c>
      <c r="H516" s="9" t="n">
        <v>4.5</v>
      </c>
      <c r="I516" s="9" t="n">
        <v>12.1</v>
      </c>
      <c r="J516" s="9" t="n">
        <v>7.7</v>
      </c>
      <c r="K516" s="10" t="n">
        <f aca="false">SUM(D516:J516)</f>
        <v>43.5</v>
      </c>
    </row>
    <row r="517" customFormat="false" ht="15" hidden="false" customHeight="false" outlineLevel="0" collapsed="false">
      <c r="A517" s="42"/>
      <c r="B517" s="42"/>
      <c r="C517" s="11" t="s">
        <v>41</v>
      </c>
      <c r="D517" s="14" t="n">
        <f aca="false">IFERROR((D516-D515)/D515,0)</f>
        <v>0.36</v>
      </c>
      <c r="E517" s="14" t="n">
        <f aca="false">IFERROR((E516-E515)/E515,0)</f>
        <v>-0.06</v>
      </c>
      <c r="F517" s="14" t="n">
        <f aca="false">IFERROR((F516-F515)/F515,0)</f>
        <v>-0.05</v>
      </c>
      <c r="G517" s="14" t="n">
        <f aca="false">IFERROR((G516-G515)/G515,0)</f>
        <v>0.3</v>
      </c>
      <c r="H517" s="14" t="n">
        <f aca="false">IFERROR((H516-H515)/H515,0)</f>
        <v>0.5</v>
      </c>
      <c r="I517" s="14" t="n">
        <f aca="false">IFERROR((I516-I515)/I515,0)</f>
        <v>2.025</v>
      </c>
      <c r="J517" s="14" t="n">
        <f aca="false">IFERROR((J516-J515)/J515,0)</f>
        <v>6.7</v>
      </c>
      <c r="K517" s="15" t="n">
        <f aca="false">IFERROR((SUM(D516:J516)-SUM(D515:J515))/SUM(D515:J515),0)</f>
        <v>0.74</v>
      </c>
    </row>
    <row r="518" customFormat="false" ht="15" hidden="false" customHeight="true" outlineLevel="0" collapsed="false">
      <c r="A518" s="42" t="s">
        <v>454</v>
      </c>
      <c r="B518" s="43" t="s">
        <v>455</v>
      </c>
      <c r="C518" s="5" t="s">
        <v>26</v>
      </c>
      <c r="D518" s="6" t="n">
        <v>4</v>
      </c>
      <c r="E518" s="6" t="n">
        <v>3</v>
      </c>
      <c r="F518" s="6" t="n">
        <v>4</v>
      </c>
      <c r="G518" s="6" t="n">
        <v>2</v>
      </c>
      <c r="H518" s="6" t="n">
        <v>4</v>
      </c>
      <c r="I518" s="6" t="n">
        <v>4</v>
      </c>
      <c r="J518" s="6" t="n">
        <v>4</v>
      </c>
      <c r="K518" s="7" t="n">
        <f aca="false">SUM(D518:J518)</f>
        <v>25</v>
      </c>
    </row>
    <row r="519" customFormat="false" ht="15" hidden="false" customHeight="false" outlineLevel="0" collapsed="false">
      <c r="A519" s="42"/>
      <c r="B519" s="42"/>
      <c r="C519" s="44" t="s">
        <v>14</v>
      </c>
      <c r="D519" s="9" t="n">
        <v>5.2</v>
      </c>
      <c r="E519" s="9" t="n">
        <v>3.4</v>
      </c>
      <c r="F519" s="9" t="n">
        <v>3.3</v>
      </c>
      <c r="G519" s="9" t="n">
        <v>3.3</v>
      </c>
      <c r="H519" s="9" t="n">
        <v>2.7</v>
      </c>
      <c r="I519" s="9" t="n">
        <v>7.3</v>
      </c>
      <c r="J519" s="9" t="n">
        <v>6.5</v>
      </c>
      <c r="K519" s="10" t="n">
        <f aca="false">SUM(D519:J519)</f>
        <v>31.7</v>
      </c>
    </row>
    <row r="520" customFormat="false" ht="15" hidden="false" customHeight="false" outlineLevel="0" collapsed="false">
      <c r="A520" s="42"/>
      <c r="B520" s="42"/>
      <c r="C520" s="11" t="s">
        <v>41</v>
      </c>
      <c r="D520" s="14" t="n">
        <f aca="false">IFERROR((D519-D518)/D518,0)</f>
        <v>0.3</v>
      </c>
      <c r="E520" s="14" t="n">
        <f aca="false">IFERROR((E519-E518)/E518,0)</f>
        <v>0.133333333333333</v>
      </c>
      <c r="F520" s="14" t="n">
        <f aca="false">IFERROR((F519-F518)/F518,0)</f>
        <v>-0.175</v>
      </c>
      <c r="G520" s="14" t="n">
        <f aca="false">IFERROR((G519-G518)/G518,0)</f>
        <v>0.65</v>
      </c>
      <c r="H520" s="14" t="n">
        <f aca="false">IFERROR((H519-H518)/H518,0)</f>
        <v>-0.325</v>
      </c>
      <c r="I520" s="14" t="n">
        <f aca="false">IFERROR((I519-I518)/I518,0)</f>
        <v>0.825</v>
      </c>
      <c r="J520" s="14" t="n">
        <f aca="false">IFERROR((J519-J518)/J518,0)</f>
        <v>0.625</v>
      </c>
      <c r="K520" s="15" t="n">
        <f aca="false">IFERROR((SUM(D519:J519)-SUM(D518:J518))/SUM(D518:J518),0)</f>
        <v>0.268</v>
      </c>
    </row>
    <row r="521" customFormat="false" ht="15" hidden="false" customHeight="true" outlineLevel="0" collapsed="false">
      <c r="A521" s="42" t="s">
        <v>456</v>
      </c>
      <c r="B521" s="43" t="s">
        <v>434</v>
      </c>
      <c r="C521" s="5" t="s">
        <v>26</v>
      </c>
      <c r="D521" s="6" t="n">
        <v>5</v>
      </c>
      <c r="E521" s="6" t="n">
        <v>2</v>
      </c>
      <c r="F521" s="6" t="n">
        <v>6</v>
      </c>
      <c r="G521" s="6" t="n">
        <v>2</v>
      </c>
      <c r="H521" s="6" t="n">
        <v>2</v>
      </c>
      <c r="I521" s="6" t="n">
        <v>4</v>
      </c>
      <c r="J521" s="6" t="n">
        <v>3</v>
      </c>
      <c r="K521" s="7" t="n">
        <f aca="false">SUM(D521:J521)</f>
        <v>24</v>
      </c>
    </row>
    <row r="522" customFormat="false" ht="15" hidden="false" customHeight="false" outlineLevel="0" collapsed="false">
      <c r="A522" s="42"/>
      <c r="B522" s="42"/>
      <c r="C522" s="44" t="s">
        <v>14</v>
      </c>
      <c r="D522" s="9" t="n">
        <v>6.2</v>
      </c>
      <c r="E522" s="9" t="n">
        <v>4.7</v>
      </c>
      <c r="F522" s="9" t="n">
        <v>4.3</v>
      </c>
      <c r="G522" s="9" t="n">
        <v>4.3</v>
      </c>
      <c r="H522" s="9" t="n">
        <v>4.4</v>
      </c>
      <c r="I522" s="9" t="n">
        <v>11.5</v>
      </c>
      <c r="J522" s="9" t="n">
        <v>5.3</v>
      </c>
      <c r="K522" s="10" t="n">
        <f aca="false">SUM(D522:J522)</f>
        <v>40.7</v>
      </c>
    </row>
    <row r="523" customFormat="false" ht="15" hidden="false" customHeight="false" outlineLevel="0" collapsed="false">
      <c r="A523" s="42"/>
      <c r="B523" s="42"/>
      <c r="C523" s="11" t="s">
        <v>41</v>
      </c>
      <c r="D523" s="14" t="n">
        <f aca="false">IFERROR((D522-D521)/D521,0)</f>
        <v>0.24</v>
      </c>
      <c r="E523" s="14" t="n">
        <f aca="false">IFERROR((E522-E521)/E521,0)</f>
        <v>1.35</v>
      </c>
      <c r="F523" s="14" t="n">
        <f aca="false">IFERROR((F522-F521)/F521,0)</f>
        <v>-0.283333333333333</v>
      </c>
      <c r="G523" s="14" t="n">
        <f aca="false">IFERROR((G522-G521)/G521,0)</f>
        <v>1.15</v>
      </c>
      <c r="H523" s="14" t="n">
        <f aca="false">IFERROR((H522-H521)/H521,0)</f>
        <v>1.2</v>
      </c>
      <c r="I523" s="14" t="n">
        <f aca="false">IFERROR((I522-I521)/I521,0)</f>
        <v>1.875</v>
      </c>
      <c r="J523" s="14" t="n">
        <f aca="false">IFERROR((J522-J521)/J521,0)</f>
        <v>0.766666666666667</v>
      </c>
      <c r="K523" s="15" t="n">
        <f aca="false">IFERROR((SUM(D522:J522)-SUM(D521:J521))/SUM(D521:J521),0)</f>
        <v>0.695833333333333</v>
      </c>
    </row>
    <row r="524" customFormat="false" ht="15" hidden="false" customHeight="true" outlineLevel="0" collapsed="false">
      <c r="A524" s="42" t="s">
        <v>457</v>
      </c>
      <c r="B524" s="43" t="s">
        <v>458</v>
      </c>
      <c r="C524" s="5" t="s">
        <v>26</v>
      </c>
      <c r="D524" s="6" t="n">
        <v>1</v>
      </c>
      <c r="E524" s="6" t="n">
        <v>2</v>
      </c>
      <c r="F524" s="6" t="n">
        <v>1</v>
      </c>
      <c r="G524" s="6" t="n">
        <v>5</v>
      </c>
      <c r="H524" s="6" t="n">
        <v>1</v>
      </c>
      <c r="I524" s="6" t="n">
        <v>7</v>
      </c>
      <c r="J524" s="6" t="n">
        <v>7</v>
      </c>
      <c r="K524" s="7" t="n">
        <f aca="false">SUM(D524:J524)</f>
        <v>24</v>
      </c>
    </row>
    <row r="525" customFormat="false" ht="15" hidden="false" customHeight="false" outlineLevel="0" collapsed="false">
      <c r="A525" s="42"/>
      <c r="B525" s="42"/>
      <c r="C525" s="44" t="s">
        <v>14</v>
      </c>
      <c r="D525" s="9" t="n">
        <v>2</v>
      </c>
      <c r="E525" s="9" t="n">
        <v>2.5</v>
      </c>
      <c r="F525" s="9" t="n">
        <v>2.4</v>
      </c>
      <c r="G525" s="9" t="n">
        <v>2.1</v>
      </c>
      <c r="H525" s="9" t="n">
        <v>3.1</v>
      </c>
      <c r="I525" s="9" t="n">
        <v>4.4</v>
      </c>
      <c r="J525" s="9" t="n">
        <v>4.9</v>
      </c>
      <c r="K525" s="10" t="n">
        <f aca="false">SUM(D525:J525)</f>
        <v>21.4</v>
      </c>
    </row>
    <row r="526" customFormat="false" ht="15" hidden="false" customHeight="false" outlineLevel="0" collapsed="false">
      <c r="A526" s="42"/>
      <c r="B526" s="42"/>
      <c r="C526" s="11" t="s">
        <v>41</v>
      </c>
      <c r="D526" s="14" t="n">
        <f aca="false">IFERROR((D525-D524)/D524,0)</f>
        <v>1</v>
      </c>
      <c r="E526" s="14" t="n">
        <f aca="false">IFERROR((E525-E524)/E524,0)</f>
        <v>0.25</v>
      </c>
      <c r="F526" s="14" t="n">
        <f aca="false">IFERROR((F525-F524)/F524,0)</f>
        <v>1.4</v>
      </c>
      <c r="G526" s="14" t="n">
        <f aca="false">IFERROR((G525-G524)/G524,0)</f>
        <v>-0.58</v>
      </c>
      <c r="H526" s="14" t="n">
        <f aca="false">IFERROR((H525-H524)/H524,0)</f>
        <v>2.1</v>
      </c>
      <c r="I526" s="14" t="n">
        <f aca="false">IFERROR((I525-I524)/I524,0)</f>
        <v>-0.371428571428571</v>
      </c>
      <c r="J526" s="14" t="n">
        <f aca="false">IFERROR((J525-J524)/J524,0)</f>
        <v>-0.3</v>
      </c>
      <c r="K526" s="15" t="n">
        <f aca="false">IFERROR((SUM(D525:J525)-SUM(D524:J524))/SUM(D524:J524),0)</f>
        <v>-0.108333333333333</v>
      </c>
    </row>
    <row r="527" customFormat="false" ht="15" hidden="false" customHeight="true" outlineLevel="0" collapsed="false">
      <c r="A527" s="42" t="s">
        <v>459</v>
      </c>
      <c r="B527" s="43" t="s">
        <v>460</v>
      </c>
      <c r="C527" s="5" t="s">
        <v>26</v>
      </c>
      <c r="D527" s="6" t="n">
        <v>5</v>
      </c>
      <c r="E527" s="6" t="n">
        <v>5</v>
      </c>
      <c r="F527" s="6" t="n">
        <v>4</v>
      </c>
      <c r="G527" s="6" t="n">
        <v>5</v>
      </c>
      <c r="H527" s="6" t="n">
        <v>0</v>
      </c>
      <c r="I527" s="6" t="n">
        <v>2</v>
      </c>
      <c r="J527" s="6" t="n">
        <v>3</v>
      </c>
      <c r="K527" s="7" t="n">
        <f aca="false">SUM(D527:J527)</f>
        <v>24</v>
      </c>
    </row>
    <row r="528" customFormat="false" ht="15" hidden="false" customHeight="false" outlineLevel="0" collapsed="false">
      <c r="A528" s="42"/>
      <c r="B528" s="42"/>
      <c r="C528" s="44" t="s">
        <v>14</v>
      </c>
      <c r="D528" s="9" t="n">
        <v>6.3</v>
      </c>
      <c r="E528" s="9" t="n">
        <v>6.3</v>
      </c>
      <c r="F528" s="9" t="n">
        <v>7.1</v>
      </c>
      <c r="G528" s="9" t="n">
        <v>2.8</v>
      </c>
      <c r="H528" s="9" t="n">
        <v>1.1</v>
      </c>
      <c r="I528" s="9" t="n">
        <v>4.3</v>
      </c>
      <c r="J528" s="9" t="n">
        <v>6.6</v>
      </c>
      <c r="K528" s="10" t="n">
        <f aca="false">SUM(D528:J528)</f>
        <v>34.5</v>
      </c>
    </row>
    <row r="529" customFormat="false" ht="15" hidden="false" customHeight="false" outlineLevel="0" collapsed="false">
      <c r="A529" s="42"/>
      <c r="B529" s="42"/>
      <c r="C529" s="11" t="s">
        <v>41</v>
      </c>
      <c r="D529" s="14" t="n">
        <f aca="false">IFERROR((D528-D527)/D527,0)</f>
        <v>0.26</v>
      </c>
      <c r="E529" s="14" t="n">
        <f aca="false">IFERROR((E528-E527)/E527,0)</f>
        <v>0.26</v>
      </c>
      <c r="F529" s="14" t="n">
        <f aca="false">IFERROR((F528-F527)/F527,0)</f>
        <v>0.775</v>
      </c>
      <c r="G529" s="14" t="n">
        <f aca="false">IFERROR((G528-G527)/G527,0)</f>
        <v>-0.44</v>
      </c>
      <c r="H529" s="14" t="n">
        <f aca="false">IFERROR((H528-H527)/H527,0)</f>
        <v>0</v>
      </c>
      <c r="I529" s="14" t="n">
        <f aca="false">IFERROR((I528-I527)/I527,0)</f>
        <v>1.15</v>
      </c>
      <c r="J529" s="14" t="n">
        <f aca="false">IFERROR((J528-J527)/J527,0)</f>
        <v>1.2</v>
      </c>
      <c r="K529" s="15" t="n">
        <f aca="false">IFERROR((SUM(D528:J528)-SUM(D527:J527))/SUM(D527:J527),0)</f>
        <v>0.4375</v>
      </c>
    </row>
    <row r="530" customFormat="false" ht="15" hidden="false" customHeight="true" outlineLevel="0" collapsed="false">
      <c r="A530" s="42" t="s">
        <v>461</v>
      </c>
      <c r="B530" s="43" t="s">
        <v>462</v>
      </c>
      <c r="C530" s="5" t="s">
        <v>26</v>
      </c>
      <c r="D530" s="6" t="n">
        <v>4</v>
      </c>
      <c r="E530" s="6" t="n">
        <v>2</v>
      </c>
      <c r="F530" s="6" t="n">
        <v>5</v>
      </c>
      <c r="G530" s="6" t="n">
        <v>3</v>
      </c>
      <c r="H530" s="6" t="n">
        <v>4</v>
      </c>
      <c r="I530" s="6" t="n">
        <v>3</v>
      </c>
      <c r="J530" s="6" t="n">
        <v>2</v>
      </c>
      <c r="K530" s="7" t="n">
        <f aca="false">SUM(D530:J530)</f>
        <v>23</v>
      </c>
    </row>
    <row r="531" customFormat="false" ht="15" hidden="false" customHeight="false" outlineLevel="0" collapsed="false">
      <c r="A531" s="42"/>
      <c r="B531" s="42"/>
      <c r="C531" s="44" t="s">
        <v>14</v>
      </c>
      <c r="D531" s="9" t="n">
        <v>3.9</v>
      </c>
      <c r="E531" s="9" t="n">
        <v>3.1</v>
      </c>
      <c r="F531" s="9" t="n">
        <v>3.5</v>
      </c>
      <c r="G531" s="9" t="n">
        <v>2.7</v>
      </c>
      <c r="H531" s="9" t="n">
        <v>4.3</v>
      </c>
      <c r="I531" s="9" t="n">
        <v>10.5</v>
      </c>
      <c r="J531" s="9" t="n">
        <v>8.1</v>
      </c>
      <c r="K531" s="10" t="n">
        <f aca="false">SUM(D531:J531)</f>
        <v>36.1</v>
      </c>
    </row>
    <row r="532" customFormat="false" ht="15" hidden="false" customHeight="false" outlineLevel="0" collapsed="false">
      <c r="A532" s="42"/>
      <c r="B532" s="42"/>
      <c r="C532" s="11" t="s">
        <v>41</v>
      </c>
      <c r="D532" s="14" t="n">
        <f aca="false">IFERROR((D531-D530)/D530,0)</f>
        <v>-0.025</v>
      </c>
      <c r="E532" s="14" t="n">
        <f aca="false">IFERROR((E531-E530)/E530,0)</f>
        <v>0.55</v>
      </c>
      <c r="F532" s="14" t="n">
        <f aca="false">IFERROR((F531-F530)/F530,0)</f>
        <v>-0.3</v>
      </c>
      <c r="G532" s="14" t="n">
        <f aca="false">IFERROR((G531-G530)/G530,0)</f>
        <v>-0.0999999999999999</v>
      </c>
      <c r="H532" s="14" t="n">
        <f aca="false">IFERROR((H531-H530)/H530,0)</f>
        <v>0.075</v>
      </c>
      <c r="I532" s="14" t="n">
        <f aca="false">IFERROR((I531-I530)/I530,0)</f>
        <v>2.5</v>
      </c>
      <c r="J532" s="14" t="n">
        <f aca="false">IFERROR((J531-J530)/J530,0)</f>
        <v>3.05</v>
      </c>
      <c r="K532" s="15" t="n">
        <f aca="false">IFERROR((SUM(D531:J531)-SUM(D530:J530))/SUM(D530:J530),0)</f>
        <v>0.569565217391304</v>
      </c>
    </row>
    <row r="533" customFormat="false" ht="15" hidden="false" customHeight="true" outlineLevel="0" collapsed="false">
      <c r="A533" s="42" t="s">
        <v>463</v>
      </c>
      <c r="B533" s="43" t="s">
        <v>434</v>
      </c>
      <c r="C533" s="5" t="s">
        <v>26</v>
      </c>
      <c r="D533" s="6" t="n">
        <v>3</v>
      </c>
      <c r="E533" s="6" t="n">
        <v>7</v>
      </c>
      <c r="F533" s="6" t="n">
        <v>3</v>
      </c>
      <c r="G533" s="6" t="n">
        <v>2</v>
      </c>
      <c r="H533" s="6" t="n">
        <v>1</v>
      </c>
      <c r="I533" s="6" t="n">
        <v>6</v>
      </c>
      <c r="J533" s="6" t="n">
        <v>1</v>
      </c>
      <c r="K533" s="7" t="n">
        <f aca="false">SUM(D533:J533)</f>
        <v>23</v>
      </c>
    </row>
    <row r="534" customFormat="false" ht="15" hidden="false" customHeight="false" outlineLevel="0" collapsed="false">
      <c r="A534" s="42"/>
      <c r="B534" s="42"/>
      <c r="C534" s="44" t="s">
        <v>14</v>
      </c>
      <c r="D534" s="9" t="n">
        <v>3.8</v>
      </c>
      <c r="E534" s="9" t="n">
        <v>4</v>
      </c>
      <c r="F534" s="9" t="n">
        <v>4.4</v>
      </c>
      <c r="G534" s="9" t="n">
        <v>3.5</v>
      </c>
      <c r="H534" s="9" t="n">
        <v>4.5</v>
      </c>
      <c r="I534" s="9" t="n">
        <v>8.8</v>
      </c>
      <c r="J534" s="9" t="n">
        <v>8.8</v>
      </c>
      <c r="K534" s="10" t="n">
        <f aca="false">SUM(D534:J534)</f>
        <v>37.8</v>
      </c>
    </row>
    <row r="535" customFormat="false" ht="15" hidden="false" customHeight="false" outlineLevel="0" collapsed="false">
      <c r="A535" s="42"/>
      <c r="B535" s="42"/>
      <c r="C535" s="11" t="s">
        <v>41</v>
      </c>
      <c r="D535" s="14" t="n">
        <f aca="false">IFERROR((D534-D533)/D533,0)</f>
        <v>0.266666666666667</v>
      </c>
      <c r="E535" s="14" t="n">
        <f aca="false">IFERROR((E534-E533)/E533,0)</f>
        <v>-0.428571428571429</v>
      </c>
      <c r="F535" s="14" t="n">
        <f aca="false">IFERROR((F534-F533)/F533,0)</f>
        <v>0.466666666666667</v>
      </c>
      <c r="G535" s="14" t="n">
        <f aca="false">IFERROR((G534-G533)/G533,0)</f>
        <v>0.75</v>
      </c>
      <c r="H535" s="14" t="n">
        <f aca="false">IFERROR((H534-H533)/H533,0)</f>
        <v>3.5</v>
      </c>
      <c r="I535" s="14" t="n">
        <f aca="false">IFERROR((I534-I533)/I533,0)</f>
        <v>0.466666666666667</v>
      </c>
      <c r="J535" s="14" t="n">
        <f aca="false">IFERROR((J534-J533)/J533,0)</f>
        <v>7.8</v>
      </c>
      <c r="K535" s="15" t="n">
        <f aca="false">IFERROR((SUM(D534:J534)-SUM(D533:J533))/SUM(D533:J533),0)</f>
        <v>0.643478260869565</v>
      </c>
    </row>
    <row r="536" customFormat="false" ht="15" hidden="false" customHeight="true" outlineLevel="0" collapsed="false">
      <c r="A536" s="42" t="s">
        <v>464</v>
      </c>
      <c r="B536" s="43" t="s">
        <v>465</v>
      </c>
      <c r="C536" s="5" t="s">
        <v>26</v>
      </c>
      <c r="D536" s="6" t="n">
        <v>1</v>
      </c>
      <c r="E536" s="6" t="n">
        <v>2</v>
      </c>
      <c r="F536" s="6" t="n">
        <v>3</v>
      </c>
      <c r="G536" s="6" t="n">
        <v>0</v>
      </c>
      <c r="H536" s="6" t="n">
        <v>10</v>
      </c>
      <c r="I536" s="6" t="n">
        <v>4</v>
      </c>
      <c r="J536" s="6" t="n">
        <v>2</v>
      </c>
      <c r="K536" s="7" t="n">
        <f aca="false">SUM(D536:J536)</f>
        <v>22</v>
      </c>
    </row>
    <row r="537" customFormat="false" ht="15" hidden="false" customHeight="false" outlineLevel="0" collapsed="false">
      <c r="A537" s="42"/>
      <c r="B537" s="42"/>
      <c r="C537" s="44" t="s">
        <v>14</v>
      </c>
      <c r="D537" s="9" t="n">
        <v>1.6</v>
      </c>
      <c r="E537" s="9" t="n">
        <v>1.7</v>
      </c>
      <c r="F537" s="9" t="n">
        <v>2.4</v>
      </c>
      <c r="G537" s="9" t="n">
        <v>5.1</v>
      </c>
      <c r="H537" s="9" t="n">
        <v>7.4</v>
      </c>
      <c r="I537" s="9" t="n">
        <v>6.2</v>
      </c>
      <c r="J537" s="9" t="n">
        <v>8.5</v>
      </c>
      <c r="K537" s="10" t="n">
        <f aca="false">SUM(D537:J537)</f>
        <v>32.9</v>
      </c>
    </row>
    <row r="538" customFormat="false" ht="15" hidden="false" customHeight="false" outlineLevel="0" collapsed="false">
      <c r="A538" s="42"/>
      <c r="B538" s="42"/>
      <c r="C538" s="11" t="s">
        <v>41</v>
      </c>
      <c r="D538" s="14" t="n">
        <f aca="false">IFERROR((D537-D536)/D536,0)</f>
        <v>0.6</v>
      </c>
      <c r="E538" s="14" t="n">
        <f aca="false">IFERROR((E537-E536)/E536,0)</f>
        <v>-0.15</v>
      </c>
      <c r="F538" s="14" t="n">
        <f aca="false">IFERROR((F537-F536)/F536,0)</f>
        <v>-0.2</v>
      </c>
      <c r="G538" s="14" t="n">
        <f aca="false">IFERROR((G537-G536)/G536,0)</f>
        <v>0</v>
      </c>
      <c r="H538" s="14" t="n">
        <f aca="false">IFERROR((H537-H536)/H536,0)</f>
        <v>-0.26</v>
      </c>
      <c r="I538" s="14" t="n">
        <f aca="false">IFERROR((I537-I536)/I536,0)</f>
        <v>0.55</v>
      </c>
      <c r="J538" s="14" t="n">
        <f aca="false">IFERROR((J537-J536)/J536,0)</f>
        <v>3.25</v>
      </c>
      <c r="K538" s="15" t="n">
        <f aca="false">IFERROR((SUM(D537:J537)-SUM(D536:J536))/SUM(D536:J536),0)</f>
        <v>0.495454545454545</v>
      </c>
    </row>
    <row r="539" customFormat="false" ht="15" hidden="false" customHeight="true" outlineLevel="0" collapsed="false">
      <c r="A539" s="42" t="s">
        <v>466</v>
      </c>
      <c r="B539" s="43" t="s">
        <v>467</v>
      </c>
      <c r="C539" s="5" t="s">
        <v>26</v>
      </c>
      <c r="D539" s="6" t="n">
        <v>1</v>
      </c>
      <c r="E539" s="6" t="n">
        <v>4</v>
      </c>
      <c r="F539" s="6" t="n">
        <v>3</v>
      </c>
      <c r="G539" s="6" t="n">
        <v>1</v>
      </c>
      <c r="H539" s="6" t="n">
        <v>9</v>
      </c>
      <c r="I539" s="6" t="n">
        <v>2</v>
      </c>
      <c r="J539" s="6" t="n">
        <v>0</v>
      </c>
      <c r="K539" s="7" t="n">
        <f aca="false">SUM(D539:J539)</f>
        <v>20</v>
      </c>
    </row>
    <row r="540" customFormat="false" ht="15" hidden="false" customHeight="false" outlineLevel="0" collapsed="false">
      <c r="A540" s="42"/>
      <c r="B540" s="42"/>
      <c r="C540" s="44" t="s">
        <v>14</v>
      </c>
      <c r="D540" s="9" t="n">
        <v>2</v>
      </c>
      <c r="E540" s="9" t="n">
        <v>2.1</v>
      </c>
      <c r="F540" s="9" t="n">
        <v>3</v>
      </c>
      <c r="G540" s="9" t="n">
        <v>1.7</v>
      </c>
      <c r="H540" s="9" t="n">
        <v>4.3</v>
      </c>
      <c r="I540" s="9" t="n">
        <v>5.5</v>
      </c>
      <c r="J540" s="9" t="n">
        <v>0.6</v>
      </c>
      <c r="K540" s="10" t="n">
        <f aca="false">SUM(D540:J540)</f>
        <v>19.2</v>
      </c>
    </row>
    <row r="541" customFormat="false" ht="15" hidden="false" customHeight="false" outlineLevel="0" collapsed="false">
      <c r="A541" s="42"/>
      <c r="B541" s="42"/>
      <c r="C541" s="11" t="s">
        <v>41</v>
      </c>
      <c r="D541" s="14" t="n">
        <f aca="false">IFERROR((D540-D539)/D539,0)</f>
        <v>1</v>
      </c>
      <c r="E541" s="14" t="n">
        <f aca="false">IFERROR((E540-E539)/E539,0)</f>
        <v>-0.475</v>
      </c>
      <c r="F541" s="14" t="n">
        <f aca="false">IFERROR((F540-F539)/F539,0)</f>
        <v>0</v>
      </c>
      <c r="G541" s="14" t="n">
        <f aca="false">IFERROR((G540-G539)/G539,0)</f>
        <v>0.7</v>
      </c>
      <c r="H541" s="14" t="n">
        <f aca="false">IFERROR((H540-H539)/H539,0)</f>
        <v>-0.522222222222222</v>
      </c>
      <c r="I541" s="14" t="n">
        <f aca="false">IFERROR((I540-I539)/I539,0)</f>
        <v>1.75</v>
      </c>
      <c r="J541" s="14" t="n">
        <f aca="false">IFERROR((J540-J539)/J539,0)</f>
        <v>0</v>
      </c>
      <c r="K541" s="15" t="n">
        <f aca="false">IFERROR((SUM(D540:J540)-SUM(D539:J539))/SUM(D539:J539),0)</f>
        <v>-0.0399999999999999</v>
      </c>
    </row>
    <row r="542" customFormat="false" ht="15" hidden="false" customHeight="true" outlineLevel="0" collapsed="false">
      <c r="A542" s="42" t="s">
        <v>468</v>
      </c>
      <c r="B542" s="43" t="s">
        <v>469</v>
      </c>
      <c r="C542" s="5" t="s">
        <v>26</v>
      </c>
      <c r="D542" s="6" t="n">
        <v>1</v>
      </c>
      <c r="E542" s="6" t="n">
        <v>4</v>
      </c>
      <c r="F542" s="6" t="n">
        <v>1</v>
      </c>
      <c r="G542" s="6" t="n">
        <v>4</v>
      </c>
      <c r="H542" s="6" t="n">
        <v>4</v>
      </c>
      <c r="I542" s="6" t="n">
        <v>4</v>
      </c>
      <c r="J542" s="6" t="n">
        <v>1</v>
      </c>
      <c r="K542" s="7" t="n">
        <f aca="false">SUM(D542:J542)</f>
        <v>19</v>
      </c>
    </row>
    <row r="543" customFormat="false" ht="15" hidden="false" customHeight="false" outlineLevel="0" collapsed="false">
      <c r="A543" s="42"/>
      <c r="B543" s="42"/>
      <c r="C543" s="44" t="s">
        <v>14</v>
      </c>
      <c r="D543" s="9" t="n">
        <v>0.6</v>
      </c>
      <c r="E543" s="9" t="n">
        <v>1.7</v>
      </c>
      <c r="F543" s="9" t="n">
        <v>1.5</v>
      </c>
      <c r="G543" s="9" t="n">
        <v>1.6</v>
      </c>
      <c r="H543" s="9" t="n">
        <v>1.7</v>
      </c>
      <c r="I543" s="9" t="n">
        <v>4.3</v>
      </c>
      <c r="J543" s="9" t="n">
        <v>3.2</v>
      </c>
      <c r="K543" s="10" t="n">
        <f aca="false">SUM(D543:J543)</f>
        <v>14.6</v>
      </c>
    </row>
    <row r="544" customFormat="false" ht="15" hidden="false" customHeight="false" outlineLevel="0" collapsed="false">
      <c r="A544" s="42"/>
      <c r="B544" s="42"/>
      <c r="C544" s="11" t="s">
        <v>41</v>
      </c>
      <c r="D544" s="14" t="n">
        <f aca="false">IFERROR((D543-D542)/D542,0)</f>
        <v>-0.4</v>
      </c>
      <c r="E544" s="14" t="n">
        <f aca="false">IFERROR((E543-E542)/E542,0)</f>
        <v>-0.575</v>
      </c>
      <c r="F544" s="14" t="n">
        <f aca="false">IFERROR((F543-F542)/F542,0)</f>
        <v>0.5</v>
      </c>
      <c r="G544" s="14" t="n">
        <f aca="false">IFERROR((G543-G542)/G542,0)</f>
        <v>-0.6</v>
      </c>
      <c r="H544" s="14" t="n">
        <f aca="false">IFERROR((H543-H542)/H542,0)</f>
        <v>-0.575</v>
      </c>
      <c r="I544" s="14" t="n">
        <f aca="false">IFERROR((I543-I542)/I542,0)</f>
        <v>0.075</v>
      </c>
      <c r="J544" s="14" t="n">
        <f aca="false">IFERROR((J543-J542)/J542,0)</f>
        <v>2.2</v>
      </c>
      <c r="K544" s="15" t="n">
        <f aca="false">IFERROR((SUM(D543:J543)-SUM(D542:J542))/SUM(D542:J542),0)</f>
        <v>-0.231578947368421</v>
      </c>
    </row>
    <row r="545" customFormat="false" ht="15" hidden="false" customHeight="true" outlineLevel="0" collapsed="false">
      <c r="A545" s="42" t="s">
        <v>470</v>
      </c>
      <c r="B545" s="43" t="s">
        <v>471</v>
      </c>
      <c r="C545" s="5" t="s">
        <v>26</v>
      </c>
      <c r="D545" s="6" t="n">
        <v>1</v>
      </c>
      <c r="E545" s="6" t="n">
        <v>1</v>
      </c>
      <c r="F545" s="6" t="n">
        <v>4</v>
      </c>
      <c r="G545" s="6" t="n">
        <v>6</v>
      </c>
      <c r="H545" s="6" t="n">
        <v>1</v>
      </c>
      <c r="I545" s="6" t="n">
        <v>4</v>
      </c>
      <c r="J545" s="6" t="n">
        <v>1</v>
      </c>
      <c r="K545" s="7" t="n">
        <f aca="false">SUM(D545:J545)</f>
        <v>18</v>
      </c>
    </row>
    <row r="546" customFormat="false" ht="15" hidden="false" customHeight="false" outlineLevel="0" collapsed="false">
      <c r="A546" s="42"/>
      <c r="B546" s="42"/>
      <c r="C546" s="44" t="s">
        <v>14</v>
      </c>
      <c r="D546" s="9" t="n">
        <v>1.9</v>
      </c>
      <c r="E546" s="9" t="n">
        <v>2.6</v>
      </c>
      <c r="F546" s="9" t="n">
        <v>1.9</v>
      </c>
      <c r="G546" s="9" t="n">
        <v>3.7</v>
      </c>
      <c r="H546" s="9" t="n">
        <v>2.1</v>
      </c>
      <c r="I546" s="9" t="n">
        <v>4.9</v>
      </c>
      <c r="J546" s="9" t="n">
        <v>4</v>
      </c>
      <c r="K546" s="10" t="n">
        <f aca="false">SUM(D546:J546)</f>
        <v>21.1</v>
      </c>
    </row>
    <row r="547" customFormat="false" ht="15" hidden="false" customHeight="false" outlineLevel="0" collapsed="false">
      <c r="A547" s="42"/>
      <c r="B547" s="42"/>
      <c r="C547" s="11" t="s">
        <v>41</v>
      </c>
      <c r="D547" s="14" t="n">
        <f aca="false">IFERROR((D546-D545)/D545,0)</f>
        <v>0.9</v>
      </c>
      <c r="E547" s="14" t="n">
        <f aca="false">IFERROR((E546-E545)/E545,0)</f>
        <v>1.6</v>
      </c>
      <c r="F547" s="14" t="n">
        <f aca="false">IFERROR((F546-F545)/F545,0)</f>
        <v>-0.525</v>
      </c>
      <c r="G547" s="14" t="n">
        <f aca="false">IFERROR((G546-G545)/G545,0)</f>
        <v>-0.383333333333333</v>
      </c>
      <c r="H547" s="14" t="n">
        <f aca="false">IFERROR((H546-H545)/H545,0)</f>
        <v>1.1</v>
      </c>
      <c r="I547" s="14" t="n">
        <f aca="false">IFERROR((I546-I545)/I545,0)</f>
        <v>0.225</v>
      </c>
      <c r="J547" s="14" t="n">
        <f aca="false">IFERROR((J546-J545)/J545,0)</f>
        <v>3</v>
      </c>
      <c r="K547" s="15" t="n">
        <f aca="false">IFERROR((SUM(D546:J546)-SUM(D545:J545))/SUM(D545:J545),0)</f>
        <v>0.172222222222222</v>
      </c>
    </row>
    <row r="548" customFormat="false" ht="15" hidden="false" customHeight="true" outlineLevel="0" collapsed="false">
      <c r="A548" s="42" t="s">
        <v>472</v>
      </c>
      <c r="B548" s="43" t="s">
        <v>473</v>
      </c>
      <c r="C548" s="5" t="s">
        <v>26</v>
      </c>
      <c r="D548" s="6" t="n">
        <v>1</v>
      </c>
      <c r="E548" s="6" t="n">
        <v>3</v>
      </c>
      <c r="F548" s="6" t="n">
        <v>4</v>
      </c>
      <c r="G548" s="6" t="n">
        <v>3</v>
      </c>
      <c r="H548" s="6" t="n">
        <v>2</v>
      </c>
      <c r="I548" s="6" t="n">
        <v>4</v>
      </c>
      <c r="J548" s="6" t="n">
        <v>1</v>
      </c>
      <c r="K548" s="7" t="n">
        <f aca="false">SUM(D548:J548)</f>
        <v>18</v>
      </c>
    </row>
    <row r="549" customFormat="false" ht="15" hidden="false" customHeight="false" outlineLevel="0" collapsed="false">
      <c r="A549" s="42"/>
      <c r="B549" s="42"/>
      <c r="C549" s="44" t="s">
        <v>14</v>
      </c>
      <c r="D549" s="9" t="n">
        <v>3.7</v>
      </c>
      <c r="E549" s="9" t="n">
        <v>2</v>
      </c>
      <c r="F549" s="9" t="n">
        <v>5.3</v>
      </c>
      <c r="G549" s="9" t="n">
        <v>2.8</v>
      </c>
      <c r="H549" s="9" t="n">
        <v>2</v>
      </c>
      <c r="I549" s="9" t="n">
        <v>2.1</v>
      </c>
      <c r="J549" s="9" t="n">
        <v>4.3</v>
      </c>
      <c r="K549" s="10" t="n">
        <f aca="false">SUM(D549:J549)</f>
        <v>22.2</v>
      </c>
    </row>
    <row r="550" customFormat="false" ht="15" hidden="false" customHeight="false" outlineLevel="0" collapsed="false">
      <c r="A550" s="42"/>
      <c r="B550" s="42"/>
      <c r="C550" s="11" t="s">
        <v>41</v>
      </c>
      <c r="D550" s="14" t="n">
        <f aca="false">IFERROR((D549-D548)/D548,0)</f>
        <v>2.7</v>
      </c>
      <c r="E550" s="14" t="n">
        <f aca="false">IFERROR((E549-E548)/E548,0)</f>
        <v>-0.333333333333333</v>
      </c>
      <c r="F550" s="14" t="n">
        <f aca="false">IFERROR((F549-F548)/F548,0)</f>
        <v>0.325</v>
      </c>
      <c r="G550" s="14" t="n">
        <f aca="false">IFERROR((G549-G548)/G548,0)</f>
        <v>-0.0666666666666667</v>
      </c>
      <c r="H550" s="14" t="n">
        <f aca="false">IFERROR((H549-H548)/H548,0)</f>
        <v>0</v>
      </c>
      <c r="I550" s="14" t="n">
        <f aca="false">IFERROR((I549-I548)/I548,0)</f>
        <v>-0.475</v>
      </c>
      <c r="J550" s="14" t="n">
        <f aca="false">IFERROR((J549-J548)/J548,0)</f>
        <v>3.3</v>
      </c>
      <c r="K550" s="15" t="n">
        <f aca="false">IFERROR((SUM(D549:J549)-SUM(D548:J548))/SUM(D548:J548),0)</f>
        <v>0.233333333333333</v>
      </c>
    </row>
    <row r="551" customFormat="false" ht="15" hidden="false" customHeight="true" outlineLevel="0" collapsed="false">
      <c r="A551" s="42" t="s">
        <v>474</v>
      </c>
      <c r="B551" s="43" t="s">
        <v>288</v>
      </c>
      <c r="C551" s="5" t="s">
        <v>26</v>
      </c>
      <c r="D551" s="6" t="n">
        <v>1</v>
      </c>
      <c r="E551" s="6" t="n">
        <v>3</v>
      </c>
      <c r="F551" s="6" t="n">
        <v>0</v>
      </c>
      <c r="G551" s="6" t="n">
        <v>1</v>
      </c>
      <c r="H551" s="6" t="n">
        <v>1</v>
      </c>
      <c r="I551" s="6" t="n">
        <v>10</v>
      </c>
      <c r="J551" s="6" t="n">
        <v>2</v>
      </c>
      <c r="K551" s="7" t="n">
        <f aca="false">SUM(D551:J551)</f>
        <v>18</v>
      </c>
    </row>
    <row r="552" customFormat="false" ht="15" hidden="false" customHeight="false" outlineLevel="0" collapsed="false">
      <c r="A552" s="42"/>
      <c r="B552" s="42"/>
      <c r="C552" s="44" t="s">
        <v>14</v>
      </c>
      <c r="D552" s="9" t="n">
        <v>1.9</v>
      </c>
      <c r="E552" s="9" t="n">
        <v>1.8</v>
      </c>
      <c r="F552" s="9" t="n">
        <v>1.9</v>
      </c>
      <c r="G552" s="9" t="n">
        <v>1.6</v>
      </c>
      <c r="H552" s="9" t="n">
        <v>2.2</v>
      </c>
      <c r="I552" s="9" t="n">
        <v>5</v>
      </c>
      <c r="J552" s="9" t="n">
        <v>3.4</v>
      </c>
      <c r="K552" s="10" t="n">
        <f aca="false">SUM(D552:J552)</f>
        <v>17.8</v>
      </c>
    </row>
    <row r="553" customFormat="false" ht="15" hidden="false" customHeight="false" outlineLevel="0" collapsed="false">
      <c r="A553" s="42"/>
      <c r="B553" s="42"/>
      <c r="C553" s="11" t="s">
        <v>41</v>
      </c>
      <c r="D553" s="14" t="n">
        <f aca="false">IFERROR((D552-D551)/D551,0)</f>
        <v>0.9</v>
      </c>
      <c r="E553" s="14" t="n">
        <f aca="false">IFERROR((E552-E551)/E551,0)</f>
        <v>-0.4</v>
      </c>
      <c r="F553" s="14" t="n">
        <f aca="false">IFERROR((F552-F551)/F551,0)</f>
        <v>0</v>
      </c>
      <c r="G553" s="14" t="n">
        <f aca="false">IFERROR((G552-G551)/G551,0)</f>
        <v>0.6</v>
      </c>
      <c r="H553" s="14" t="n">
        <f aca="false">IFERROR((H552-H551)/H551,0)</f>
        <v>1.2</v>
      </c>
      <c r="I553" s="14" t="n">
        <f aca="false">IFERROR((I552-I551)/I551,0)</f>
        <v>-0.5</v>
      </c>
      <c r="J553" s="14" t="n">
        <f aca="false">IFERROR((J552-J551)/J551,0)</f>
        <v>0.7</v>
      </c>
      <c r="K553" s="15" t="n">
        <f aca="false">IFERROR((SUM(D552:J552)-SUM(D551:J551))/SUM(D551:J551),0)</f>
        <v>-0.0111111111111111</v>
      </c>
    </row>
    <row r="554" customFormat="false" ht="15" hidden="false" customHeight="true" outlineLevel="0" collapsed="false">
      <c r="A554" s="42" t="s">
        <v>475</v>
      </c>
      <c r="B554" s="43" t="s">
        <v>476</v>
      </c>
      <c r="C554" s="5" t="s">
        <v>26</v>
      </c>
      <c r="D554" s="6" t="n">
        <v>1</v>
      </c>
      <c r="E554" s="6" t="n">
        <v>3</v>
      </c>
      <c r="F554" s="6" t="n">
        <v>3</v>
      </c>
      <c r="G554" s="6" t="n">
        <v>2</v>
      </c>
      <c r="H554" s="6" t="n">
        <v>3</v>
      </c>
      <c r="I554" s="6" t="n">
        <v>4</v>
      </c>
      <c r="J554" s="6" t="n">
        <v>2</v>
      </c>
      <c r="K554" s="7" t="n">
        <f aca="false">SUM(D554:J554)</f>
        <v>18</v>
      </c>
    </row>
    <row r="555" customFormat="false" ht="15" hidden="false" customHeight="false" outlineLevel="0" collapsed="false">
      <c r="A555" s="42"/>
      <c r="B555" s="42"/>
      <c r="C555" s="44" t="s">
        <v>14</v>
      </c>
      <c r="D555" s="9" t="n">
        <v>3.5</v>
      </c>
      <c r="E555" s="9" t="n">
        <v>3.2</v>
      </c>
      <c r="F555" s="9" t="n">
        <v>3.7</v>
      </c>
      <c r="G555" s="9" t="n">
        <v>3.4</v>
      </c>
      <c r="H555" s="9" t="n">
        <v>4.3</v>
      </c>
      <c r="I555" s="9" t="n">
        <v>8.9</v>
      </c>
      <c r="J555" s="9" t="n">
        <v>8.5</v>
      </c>
      <c r="K555" s="10" t="n">
        <f aca="false">SUM(D555:J555)</f>
        <v>35.5</v>
      </c>
    </row>
    <row r="556" customFormat="false" ht="15" hidden="false" customHeight="false" outlineLevel="0" collapsed="false">
      <c r="A556" s="42"/>
      <c r="B556" s="42"/>
      <c r="C556" s="11" t="s">
        <v>41</v>
      </c>
      <c r="D556" s="14" t="n">
        <f aca="false">IFERROR((D555-D554)/D554,0)</f>
        <v>2.5</v>
      </c>
      <c r="E556" s="14" t="n">
        <f aca="false">IFERROR((E555-E554)/E554,0)</f>
        <v>0.0666666666666667</v>
      </c>
      <c r="F556" s="14" t="n">
        <f aca="false">IFERROR((F555-F554)/F554,0)</f>
        <v>0.233333333333333</v>
      </c>
      <c r="G556" s="14" t="n">
        <f aca="false">IFERROR((G555-G554)/G554,0)</f>
        <v>0.7</v>
      </c>
      <c r="H556" s="14" t="n">
        <f aca="false">IFERROR((H555-H554)/H554,0)</f>
        <v>0.433333333333333</v>
      </c>
      <c r="I556" s="14" t="n">
        <f aca="false">IFERROR((I555-I554)/I554,0)</f>
        <v>1.225</v>
      </c>
      <c r="J556" s="14" t="n">
        <f aca="false">IFERROR((J555-J554)/J554,0)</f>
        <v>3.25</v>
      </c>
      <c r="K556" s="15" t="n">
        <f aca="false">IFERROR((SUM(D555:J555)-SUM(D554:J554))/SUM(D554:J554),0)</f>
        <v>0.972222222222222</v>
      </c>
    </row>
    <row r="557" customFormat="false" ht="15" hidden="false" customHeight="true" outlineLevel="0" collapsed="false">
      <c r="A557" s="42" t="s">
        <v>477</v>
      </c>
      <c r="B557" s="43" t="s">
        <v>478</v>
      </c>
      <c r="C557" s="5" t="s">
        <v>26</v>
      </c>
      <c r="D557" s="6" t="n">
        <v>1</v>
      </c>
      <c r="E557" s="6" t="n">
        <v>3</v>
      </c>
      <c r="F557" s="6" t="n">
        <v>2</v>
      </c>
      <c r="G557" s="6" t="n">
        <v>2</v>
      </c>
      <c r="H557" s="6" t="n">
        <v>1</v>
      </c>
      <c r="I557" s="6" t="n">
        <v>6</v>
      </c>
      <c r="J557" s="6" t="n">
        <v>2</v>
      </c>
      <c r="K557" s="7" t="n">
        <f aca="false">SUM(D557:J557)</f>
        <v>17</v>
      </c>
    </row>
    <row r="558" customFormat="false" ht="15" hidden="false" customHeight="false" outlineLevel="0" collapsed="false">
      <c r="A558" s="42"/>
      <c r="B558" s="42"/>
      <c r="C558" s="44" t="s">
        <v>14</v>
      </c>
      <c r="D558" s="9" t="n">
        <v>3.1</v>
      </c>
      <c r="E558" s="9" t="n">
        <v>3.6</v>
      </c>
      <c r="F558" s="9" t="n">
        <v>3.6</v>
      </c>
      <c r="G558" s="9" t="n">
        <v>3.7</v>
      </c>
      <c r="H558" s="9" t="n">
        <v>1.8</v>
      </c>
      <c r="I558" s="9" t="n">
        <v>4</v>
      </c>
      <c r="J558" s="9" t="n">
        <v>7.1</v>
      </c>
      <c r="K558" s="10" t="n">
        <f aca="false">SUM(D558:J558)</f>
        <v>26.9</v>
      </c>
    </row>
    <row r="559" customFormat="false" ht="15" hidden="false" customHeight="false" outlineLevel="0" collapsed="false">
      <c r="A559" s="42"/>
      <c r="B559" s="42"/>
      <c r="C559" s="11" t="s">
        <v>41</v>
      </c>
      <c r="D559" s="14" t="n">
        <f aca="false">IFERROR((D558-D557)/D557,0)</f>
        <v>2.1</v>
      </c>
      <c r="E559" s="14" t="n">
        <f aca="false">IFERROR((E558-E557)/E557,0)</f>
        <v>0.2</v>
      </c>
      <c r="F559" s="14" t="n">
        <f aca="false">IFERROR((F558-F557)/F557,0)</f>
        <v>0.8</v>
      </c>
      <c r="G559" s="14" t="n">
        <f aca="false">IFERROR((G558-G557)/G557,0)</f>
        <v>0.85</v>
      </c>
      <c r="H559" s="14" t="n">
        <f aca="false">IFERROR((H558-H557)/H557,0)</f>
        <v>0.8</v>
      </c>
      <c r="I559" s="14" t="n">
        <f aca="false">IFERROR((I558-I557)/I557,0)</f>
        <v>-0.333333333333333</v>
      </c>
      <c r="J559" s="14" t="n">
        <f aca="false">IFERROR((J558-J557)/J557,0)</f>
        <v>2.55</v>
      </c>
      <c r="K559" s="15" t="n">
        <f aca="false">IFERROR((SUM(D558:J558)-SUM(D557:J557))/SUM(D557:J557),0)</f>
        <v>0.582352941176471</v>
      </c>
    </row>
    <row r="560" customFormat="false" ht="15" hidden="false" customHeight="true" outlineLevel="0" collapsed="false">
      <c r="A560" s="42" t="s">
        <v>479</v>
      </c>
      <c r="B560" s="43" t="s">
        <v>480</v>
      </c>
      <c r="C560" s="5" t="s">
        <v>26</v>
      </c>
      <c r="D560" s="6" t="n">
        <v>0</v>
      </c>
      <c r="E560" s="6" t="n">
        <v>1</v>
      </c>
      <c r="F560" s="6" t="n">
        <v>0</v>
      </c>
      <c r="G560" s="6" t="n">
        <v>1</v>
      </c>
      <c r="H560" s="6" t="n">
        <v>5</v>
      </c>
      <c r="I560" s="6" t="n">
        <v>7</v>
      </c>
      <c r="J560" s="6" t="n">
        <v>3</v>
      </c>
      <c r="K560" s="7" t="n">
        <f aca="false">SUM(D560:J560)</f>
        <v>17</v>
      </c>
    </row>
    <row r="561" customFormat="false" ht="15" hidden="false" customHeight="false" outlineLevel="0" collapsed="false">
      <c r="A561" s="42"/>
      <c r="B561" s="42"/>
      <c r="C561" s="44" t="s">
        <v>14</v>
      </c>
      <c r="D561" s="9" t="n">
        <v>3.5</v>
      </c>
      <c r="E561" s="9" t="n">
        <v>1.7</v>
      </c>
      <c r="F561" s="9" t="n">
        <v>1.9</v>
      </c>
      <c r="G561" s="9" t="n">
        <v>2.7</v>
      </c>
      <c r="H561" s="9" t="n">
        <v>2.7</v>
      </c>
      <c r="I561" s="9" t="n">
        <v>5.9</v>
      </c>
      <c r="J561" s="9" t="n">
        <v>7</v>
      </c>
      <c r="K561" s="10" t="n">
        <f aca="false">SUM(D561:J561)</f>
        <v>25.4</v>
      </c>
    </row>
    <row r="562" customFormat="false" ht="15" hidden="false" customHeight="false" outlineLevel="0" collapsed="false">
      <c r="A562" s="42"/>
      <c r="B562" s="42"/>
      <c r="C562" s="11" t="s">
        <v>41</v>
      </c>
      <c r="D562" s="14" t="n">
        <f aca="false">IFERROR((D561-D560)/D560,0)</f>
        <v>0</v>
      </c>
      <c r="E562" s="14" t="n">
        <f aca="false">IFERROR((E561-E560)/E560,0)</f>
        <v>0.7</v>
      </c>
      <c r="F562" s="14" t="n">
        <f aca="false">IFERROR((F561-F560)/F560,0)</f>
        <v>0</v>
      </c>
      <c r="G562" s="14" t="n">
        <f aca="false">IFERROR((G561-G560)/G560,0)</f>
        <v>1.7</v>
      </c>
      <c r="H562" s="14" t="n">
        <f aca="false">IFERROR((H561-H560)/H560,0)</f>
        <v>-0.46</v>
      </c>
      <c r="I562" s="14" t="n">
        <f aca="false">IFERROR((I561-I560)/I560,0)</f>
        <v>-0.157142857142857</v>
      </c>
      <c r="J562" s="14" t="n">
        <f aca="false">IFERROR((J561-J560)/J560,0)</f>
        <v>1.33333333333333</v>
      </c>
      <c r="K562" s="15" t="n">
        <f aca="false">IFERROR((SUM(D561:J561)-SUM(D560:J560))/SUM(D560:J560),0)</f>
        <v>0.494117647058824</v>
      </c>
    </row>
    <row r="563" customFormat="false" ht="15" hidden="false" customHeight="true" outlineLevel="0" collapsed="false">
      <c r="A563" s="42" t="s">
        <v>481</v>
      </c>
      <c r="B563" s="43" t="s">
        <v>482</v>
      </c>
      <c r="C563" s="5" t="s">
        <v>26</v>
      </c>
      <c r="D563" s="6" t="n">
        <v>2</v>
      </c>
      <c r="E563" s="6" t="n">
        <v>2</v>
      </c>
      <c r="F563" s="6" t="n">
        <v>0</v>
      </c>
      <c r="G563" s="6" t="n">
        <v>1</v>
      </c>
      <c r="H563" s="6" t="n">
        <v>4</v>
      </c>
      <c r="I563" s="6" t="n">
        <v>8</v>
      </c>
      <c r="J563" s="6" t="n">
        <v>0</v>
      </c>
      <c r="K563" s="7" t="n">
        <f aca="false">SUM(D563:J563)</f>
        <v>17</v>
      </c>
    </row>
    <row r="564" customFormat="false" ht="15" hidden="false" customHeight="false" outlineLevel="0" collapsed="false">
      <c r="A564" s="42"/>
      <c r="B564" s="42"/>
      <c r="C564" s="44" t="s">
        <v>14</v>
      </c>
      <c r="D564" s="9" t="n">
        <v>3</v>
      </c>
      <c r="E564" s="9" t="n">
        <v>2.7</v>
      </c>
      <c r="F564" s="9" t="n">
        <v>2.9</v>
      </c>
      <c r="G564" s="9" t="n">
        <v>2.7</v>
      </c>
      <c r="H564" s="9" t="n">
        <v>3</v>
      </c>
      <c r="I564" s="9" t="n">
        <v>8.1</v>
      </c>
      <c r="J564" s="9" t="n">
        <v>2</v>
      </c>
      <c r="K564" s="10" t="n">
        <f aca="false">SUM(D564:J564)</f>
        <v>24.4</v>
      </c>
    </row>
    <row r="565" customFormat="false" ht="15" hidden="false" customHeight="false" outlineLevel="0" collapsed="false">
      <c r="A565" s="42"/>
      <c r="B565" s="42"/>
      <c r="C565" s="11" t="s">
        <v>41</v>
      </c>
      <c r="D565" s="14" t="n">
        <f aca="false">IFERROR((D564-D563)/D563,0)</f>
        <v>0.5</v>
      </c>
      <c r="E565" s="14" t="n">
        <f aca="false">IFERROR((E564-E563)/E563,0)</f>
        <v>0.35</v>
      </c>
      <c r="F565" s="14" t="n">
        <f aca="false">IFERROR((F564-F563)/F563,0)</f>
        <v>0</v>
      </c>
      <c r="G565" s="14" t="n">
        <f aca="false">IFERROR((G564-G563)/G563,0)</f>
        <v>1.7</v>
      </c>
      <c r="H565" s="14" t="n">
        <f aca="false">IFERROR((H564-H563)/H563,0)</f>
        <v>-0.25</v>
      </c>
      <c r="I565" s="14" t="n">
        <f aca="false">IFERROR((I564-I563)/I563,0)</f>
        <v>0.0125</v>
      </c>
      <c r="J565" s="14" t="n">
        <f aca="false">IFERROR((J564-J563)/J563,0)</f>
        <v>0</v>
      </c>
      <c r="K565" s="15" t="n">
        <f aca="false">IFERROR((SUM(D564:J564)-SUM(D563:J563))/SUM(D563:J563),0)</f>
        <v>0.435294117647059</v>
      </c>
    </row>
    <row r="566" customFormat="false" ht="15" hidden="false" customHeight="true" outlineLevel="0" collapsed="false">
      <c r="A566" s="42" t="s">
        <v>483</v>
      </c>
      <c r="B566" s="43" t="s">
        <v>484</v>
      </c>
      <c r="C566" s="5" t="s">
        <v>26</v>
      </c>
      <c r="D566" s="6" t="n">
        <v>1</v>
      </c>
      <c r="E566" s="6" t="n">
        <v>2</v>
      </c>
      <c r="F566" s="6" t="n">
        <v>3</v>
      </c>
      <c r="G566" s="6" t="n">
        <v>5</v>
      </c>
      <c r="H566" s="6" t="n">
        <v>1</v>
      </c>
      <c r="I566" s="6" t="n">
        <v>3</v>
      </c>
      <c r="J566" s="6" t="n">
        <v>0</v>
      </c>
      <c r="K566" s="7" t="n">
        <f aca="false">SUM(D566:J566)</f>
        <v>15</v>
      </c>
    </row>
    <row r="567" customFormat="false" ht="15" hidden="false" customHeight="false" outlineLevel="0" collapsed="false">
      <c r="A567" s="42"/>
      <c r="B567" s="42"/>
      <c r="C567" s="44" t="s">
        <v>14</v>
      </c>
      <c r="D567" s="9" t="n">
        <v>1.2</v>
      </c>
      <c r="E567" s="9" t="n">
        <v>1.6</v>
      </c>
      <c r="F567" s="9" t="n">
        <v>1.3</v>
      </c>
      <c r="G567" s="9" t="n">
        <v>1.9</v>
      </c>
      <c r="H567" s="9" t="n">
        <v>0.2</v>
      </c>
      <c r="I567" s="9" t="n">
        <v>4.8</v>
      </c>
      <c r="J567" s="9" t="n">
        <v>1</v>
      </c>
      <c r="K567" s="10" t="n">
        <f aca="false">SUM(D567:J567)</f>
        <v>12</v>
      </c>
    </row>
    <row r="568" customFormat="false" ht="15" hidden="false" customHeight="false" outlineLevel="0" collapsed="false">
      <c r="A568" s="42"/>
      <c r="B568" s="42"/>
      <c r="C568" s="11" t="s">
        <v>41</v>
      </c>
      <c r="D568" s="14" t="n">
        <f aca="false">IFERROR((D567-D566)/D566,0)</f>
        <v>0.2</v>
      </c>
      <c r="E568" s="14" t="n">
        <f aca="false">IFERROR((E567-E566)/E566,0)</f>
        <v>-0.2</v>
      </c>
      <c r="F568" s="14" t="n">
        <f aca="false">IFERROR((F567-F566)/F566,0)</f>
        <v>-0.566666666666667</v>
      </c>
      <c r="G568" s="14" t="n">
        <f aca="false">IFERROR((G567-G566)/G566,0)</f>
        <v>-0.62</v>
      </c>
      <c r="H568" s="14" t="n">
        <f aca="false">IFERROR((H567-H566)/H566,0)</f>
        <v>-0.8</v>
      </c>
      <c r="I568" s="14" t="n">
        <f aca="false">IFERROR((I567-I566)/I566,0)</f>
        <v>0.6</v>
      </c>
      <c r="J568" s="14" t="n">
        <f aca="false">IFERROR((J567-J566)/J566,0)</f>
        <v>0</v>
      </c>
      <c r="K568" s="15" t="n">
        <f aca="false">IFERROR((SUM(D567:J567)-SUM(D566:J566))/SUM(D566:J566),0)</f>
        <v>-0.2</v>
      </c>
    </row>
    <row r="569" customFormat="false" ht="15" hidden="false" customHeight="true" outlineLevel="0" collapsed="false">
      <c r="A569" s="42" t="s">
        <v>485</v>
      </c>
      <c r="B569" s="43" t="s">
        <v>486</v>
      </c>
      <c r="C569" s="5" t="s">
        <v>26</v>
      </c>
      <c r="D569" s="6" t="n">
        <v>2</v>
      </c>
      <c r="E569" s="6" t="n">
        <v>2</v>
      </c>
      <c r="F569" s="6" t="n">
        <v>1</v>
      </c>
      <c r="G569" s="6" t="n">
        <v>4</v>
      </c>
      <c r="H569" s="6" t="n">
        <v>1</v>
      </c>
      <c r="I569" s="6" t="n">
        <v>3</v>
      </c>
      <c r="J569" s="6" t="n">
        <v>1</v>
      </c>
      <c r="K569" s="7" t="n">
        <f aca="false">SUM(D569:J569)</f>
        <v>14</v>
      </c>
    </row>
    <row r="570" customFormat="false" ht="15" hidden="false" customHeight="false" outlineLevel="0" collapsed="false">
      <c r="A570" s="42"/>
      <c r="B570" s="42"/>
      <c r="C570" s="44" t="s">
        <v>14</v>
      </c>
      <c r="D570" s="9" t="n">
        <v>0.5</v>
      </c>
      <c r="E570" s="9" t="n">
        <v>2.8</v>
      </c>
      <c r="F570" s="9" t="n">
        <v>2.2</v>
      </c>
      <c r="G570" s="9" t="n">
        <v>2.3</v>
      </c>
      <c r="H570" s="9" t="n">
        <v>0.7</v>
      </c>
      <c r="I570" s="9" t="n">
        <v>3.6</v>
      </c>
      <c r="J570" s="9" t="n">
        <v>4.9</v>
      </c>
      <c r="K570" s="10" t="n">
        <f aca="false">SUM(D570:J570)</f>
        <v>17</v>
      </c>
    </row>
    <row r="571" customFormat="false" ht="15" hidden="false" customHeight="false" outlineLevel="0" collapsed="false">
      <c r="A571" s="42"/>
      <c r="B571" s="42"/>
      <c r="C571" s="11" t="s">
        <v>41</v>
      </c>
      <c r="D571" s="14" t="n">
        <f aca="false">IFERROR((D570-D569)/D569,0)</f>
        <v>-0.75</v>
      </c>
      <c r="E571" s="14" t="n">
        <f aca="false">IFERROR((E570-E569)/E569,0)</f>
        <v>0.4</v>
      </c>
      <c r="F571" s="14" t="n">
        <f aca="false">IFERROR((F570-F569)/F569,0)</f>
        <v>1.2</v>
      </c>
      <c r="G571" s="14" t="n">
        <f aca="false">IFERROR((G570-G569)/G569,0)</f>
        <v>-0.425</v>
      </c>
      <c r="H571" s="14" t="n">
        <f aca="false">IFERROR((H570-H569)/H569,0)</f>
        <v>-0.3</v>
      </c>
      <c r="I571" s="14" t="n">
        <f aca="false">IFERROR((I570-I569)/I569,0)</f>
        <v>0.2</v>
      </c>
      <c r="J571" s="14" t="n">
        <f aca="false">IFERROR((J570-J569)/J569,0)</f>
        <v>3.9</v>
      </c>
      <c r="K571" s="15" t="n">
        <f aca="false">IFERROR((SUM(D570:J570)-SUM(D569:J569))/SUM(D569:J569),0)</f>
        <v>0.214285714285714</v>
      </c>
    </row>
    <row r="572" customFormat="false" ht="15" hidden="false" customHeight="true" outlineLevel="0" collapsed="false">
      <c r="A572" s="42" t="s">
        <v>487</v>
      </c>
      <c r="B572" s="43" t="s">
        <v>488</v>
      </c>
      <c r="C572" s="5" t="s">
        <v>26</v>
      </c>
      <c r="D572" s="6" t="n">
        <v>1</v>
      </c>
      <c r="E572" s="6" t="n">
        <v>1</v>
      </c>
      <c r="F572" s="6" t="n">
        <v>2</v>
      </c>
      <c r="G572" s="6" t="n">
        <v>1</v>
      </c>
      <c r="H572" s="6" t="n">
        <v>0</v>
      </c>
      <c r="I572" s="6" t="n">
        <v>6</v>
      </c>
      <c r="J572" s="6" t="n">
        <v>3</v>
      </c>
      <c r="K572" s="7" t="n">
        <f aca="false">SUM(D572:J572)</f>
        <v>14</v>
      </c>
    </row>
    <row r="573" customFormat="false" ht="15" hidden="false" customHeight="false" outlineLevel="0" collapsed="false">
      <c r="A573" s="42"/>
      <c r="B573" s="42"/>
      <c r="C573" s="44" t="s">
        <v>14</v>
      </c>
      <c r="D573" s="9" t="n">
        <v>2.3</v>
      </c>
      <c r="E573" s="9" t="n">
        <v>1.9</v>
      </c>
      <c r="F573" s="9" t="n">
        <v>3.4</v>
      </c>
      <c r="G573" s="9" t="n">
        <v>2.4</v>
      </c>
      <c r="H573" s="9" t="n">
        <v>1.6</v>
      </c>
      <c r="I573" s="9" t="n">
        <v>4.6</v>
      </c>
      <c r="J573" s="9" t="n">
        <v>4.9</v>
      </c>
      <c r="K573" s="10" t="n">
        <f aca="false">SUM(D573:J573)</f>
        <v>21.1</v>
      </c>
    </row>
    <row r="574" customFormat="false" ht="15" hidden="false" customHeight="false" outlineLevel="0" collapsed="false">
      <c r="A574" s="42"/>
      <c r="B574" s="42"/>
      <c r="C574" s="11" t="s">
        <v>41</v>
      </c>
      <c r="D574" s="14" t="n">
        <f aca="false">IFERROR((D573-D572)/D572,0)</f>
        <v>1.3</v>
      </c>
      <c r="E574" s="14" t="n">
        <f aca="false">IFERROR((E573-E572)/E572,0)</f>
        <v>0.9</v>
      </c>
      <c r="F574" s="14" t="n">
        <f aca="false">IFERROR((F573-F572)/F572,0)</f>
        <v>0.7</v>
      </c>
      <c r="G574" s="14" t="n">
        <f aca="false">IFERROR((G573-G572)/G572,0)</f>
        <v>1.4</v>
      </c>
      <c r="H574" s="14" t="n">
        <f aca="false">IFERROR((H573-H572)/H572,0)</f>
        <v>0</v>
      </c>
      <c r="I574" s="14" t="n">
        <f aca="false">IFERROR((I573-I572)/I572,0)</f>
        <v>-0.233333333333333</v>
      </c>
      <c r="J574" s="14" t="n">
        <f aca="false">IFERROR((J573-J572)/J572,0)</f>
        <v>0.633333333333333</v>
      </c>
      <c r="K574" s="15" t="n">
        <f aca="false">IFERROR((SUM(D573:J573)-SUM(D572:J572))/SUM(D572:J572),0)</f>
        <v>0.507142857142857</v>
      </c>
    </row>
    <row r="575" customFormat="false" ht="15" hidden="false" customHeight="true" outlineLevel="0" collapsed="false">
      <c r="A575" s="42" t="s">
        <v>489</v>
      </c>
      <c r="B575" s="43" t="s">
        <v>490</v>
      </c>
      <c r="C575" s="5" t="s">
        <v>26</v>
      </c>
      <c r="D575" s="6" t="n">
        <v>0</v>
      </c>
      <c r="E575" s="6" t="n">
        <v>4</v>
      </c>
      <c r="F575" s="6" t="n">
        <v>1</v>
      </c>
      <c r="G575" s="6" t="n">
        <v>1</v>
      </c>
      <c r="H575" s="6" t="n">
        <v>2</v>
      </c>
      <c r="I575" s="6" t="n">
        <v>2</v>
      </c>
      <c r="J575" s="6" t="n">
        <v>3</v>
      </c>
      <c r="K575" s="7" t="n">
        <f aca="false">SUM(D575:J575)</f>
        <v>13</v>
      </c>
    </row>
    <row r="576" customFormat="false" ht="15" hidden="false" customHeight="false" outlineLevel="0" collapsed="false">
      <c r="A576" s="42"/>
      <c r="B576" s="42"/>
      <c r="C576" s="44" t="s">
        <v>14</v>
      </c>
      <c r="D576" s="9" t="n">
        <v>0</v>
      </c>
      <c r="E576" s="9" t="n">
        <v>1.9</v>
      </c>
      <c r="F576" s="9" t="n">
        <v>1.7</v>
      </c>
      <c r="G576" s="9" t="n">
        <v>1.6</v>
      </c>
      <c r="H576" s="9" t="n">
        <v>2.1</v>
      </c>
      <c r="I576" s="9" t="n">
        <v>3.1</v>
      </c>
      <c r="J576" s="9" t="n">
        <v>3.7</v>
      </c>
      <c r="K576" s="10" t="n">
        <f aca="false">SUM(D576:J576)</f>
        <v>14.1</v>
      </c>
    </row>
    <row r="577" customFormat="false" ht="15" hidden="false" customHeight="false" outlineLevel="0" collapsed="false">
      <c r="A577" s="42"/>
      <c r="B577" s="42"/>
      <c r="C577" s="11" t="s">
        <v>41</v>
      </c>
      <c r="D577" s="14" t="n">
        <f aca="false">IFERROR((D576-D575)/D575,0)</f>
        <v>0</v>
      </c>
      <c r="E577" s="14" t="n">
        <f aca="false">IFERROR((E576-E575)/E575,0)</f>
        <v>-0.525</v>
      </c>
      <c r="F577" s="14" t="n">
        <f aca="false">IFERROR((F576-F575)/F575,0)</f>
        <v>0.7</v>
      </c>
      <c r="G577" s="14" t="n">
        <f aca="false">IFERROR((G576-G575)/G575,0)</f>
        <v>0.6</v>
      </c>
      <c r="H577" s="14" t="n">
        <f aca="false">IFERROR((H576-H575)/H575,0)</f>
        <v>0.05</v>
      </c>
      <c r="I577" s="14" t="n">
        <f aca="false">IFERROR((I576-I575)/I575,0)</f>
        <v>0.55</v>
      </c>
      <c r="J577" s="14" t="n">
        <f aca="false">IFERROR((J576-J575)/J575,0)</f>
        <v>0.233333333333333</v>
      </c>
      <c r="K577" s="15" t="n">
        <f aca="false">IFERROR((SUM(D576:J576)-SUM(D575:J575))/SUM(D575:J575),0)</f>
        <v>0.0846153846153847</v>
      </c>
    </row>
    <row r="578" customFormat="false" ht="15" hidden="false" customHeight="true" outlineLevel="0" collapsed="false">
      <c r="A578" s="42" t="s">
        <v>491</v>
      </c>
      <c r="B578" s="43" t="s">
        <v>492</v>
      </c>
      <c r="C578" s="5" t="s">
        <v>26</v>
      </c>
      <c r="D578" s="6" t="n">
        <v>3</v>
      </c>
      <c r="E578" s="6" t="n">
        <v>0</v>
      </c>
      <c r="F578" s="6" t="n">
        <v>4</v>
      </c>
      <c r="G578" s="6" t="n">
        <v>1</v>
      </c>
      <c r="H578" s="6" t="n">
        <v>1</v>
      </c>
      <c r="I578" s="6" t="n">
        <v>2</v>
      </c>
      <c r="J578" s="6" t="n">
        <v>1</v>
      </c>
      <c r="K578" s="7" t="n">
        <f aca="false">SUM(D578:J578)</f>
        <v>12</v>
      </c>
    </row>
    <row r="579" customFormat="false" ht="15" hidden="false" customHeight="false" outlineLevel="0" collapsed="false">
      <c r="A579" s="42"/>
      <c r="B579" s="42"/>
      <c r="C579" s="44" t="s">
        <v>14</v>
      </c>
      <c r="D579" s="9" t="n">
        <v>5.8</v>
      </c>
      <c r="E579" s="9" t="n">
        <v>0.4</v>
      </c>
      <c r="F579" s="9" t="n">
        <v>4.9</v>
      </c>
      <c r="G579" s="9" t="n">
        <v>2.8</v>
      </c>
      <c r="H579" s="9" t="n">
        <v>2</v>
      </c>
      <c r="I579" s="9" t="n">
        <v>3</v>
      </c>
      <c r="J579" s="9" t="n">
        <v>2.4</v>
      </c>
      <c r="K579" s="10" t="n">
        <f aca="false">SUM(D579:J579)</f>
        <v>21.3</v>
      </c>
    </row>
    <row r="580" customFormat="false" ht="15" hidden="false" customHeight="false" outlineLevel="0" collapsed="false">
      <c r="A580" s="42"/>
      <c r="B580" s="42"/>
      <c r="C580" s="11" t="s">
        <v>41</v>
      </c>
      <c r="D580" s="14" t="n">
        <f aca="false">IFERROR((D579-D578)/D578,0)</f>
        <v>0.933333333333333</v>
      </c>
      <c r="E580" s="14" t="n">
        <f aca="false">IFERROR((E579-E578)/E578,0)</f>
        <v>0</v>
      </c>
      <c r="F580" s="14" t="n">
        <f aca="false">IFERROR((F579-F578)/F578,0)</f>
        <v>0.225</v>
      </c>
      <c r="G580" s="14" t="n">
        <f aca="false">IFERROR((G579-G578)/G578,0)</f>
        <v>1.8</v>
      </c>
      <c r="H580" s="14" t="n">
        <f aca="false">IFERROR((H579-H578)/H578,0)</f>
        <v>1</v>
      </c>
      <c r="I580" s="14" t="n">
        <f aca="false">IFERROR((I579-I578)/I578,0)</f>
        <v>0.5</v>
      </c>
      <c r="J580" s="14" t="n">
        <f aca="false">IFERROR((J579-J578)/J578,0)</f>
        <v>1.4</v>
      </c>
      <c r="K580" s="15" t="n">
        <f aca="false">IFERROR((SUM(D579:J579)-SUM(D578:J578))/SUM(D578:J578),0)</f>
        <v>0.775</v>
      </c>
    </row>
    <row r="581" customFormat="false" ht="15" hidden="false" customHeight="true" outlineLevel="0" collapsed="false">
      <c r="A581" s="42" t="s">
        <v>493</v>
      </c>
      <c r="B581" s="43" t="s">
        <v>494</v>
      </c>
      <c r="C581" s="5" t="s">
        <v>26</v>
      </c>
      <c r="D581" s="6" t="n">
        <v>9</v>
      </c>
      <c r="E581" s="6" t="n">
        <v>0</v>
      </c>
      <c r="F581" s="6" t="n">
        <v>2</v>
      </c>
      <c r="G581" s="6" t="n">
        <v>0</v>
      </c>
      <c r="H581" s="6" t="n">
        <v>1</v>
      </c>
      <c r="I581" s="6" t="n">
        <v>0</v>
      </c>
      <c r="J581" s="6" t="n">
        <v>0</v>
      </c>
      <c r="K581" s="7" t="n">
        <f aca="false">SUM(D581:J581)</f>
        <v>12</v>
      </c>
    </row>
    <row r="582" customFormat="false" ht="15" hidden="false" customHeight="false" outlineLevel="0" collapsed="false">
      <c r="A582" s="42"/>
      <c r="B582" s="42"/>
      <c r="C582" s="44" t="s">
        <v>14</v>
      </c>
      <c r="D582" s="9" t="n">
        <v>2.1</v>
      </c>
      <c r="E582" s="9" t="n">
        <v>0.2</v>
      </c>
      <c r="F582" s="9" t="n">
        <v>1.9</v>
      </c>
      <c r="G582" s="9" t="n">
        <v>0.2</v>
      </c>
      <c r="H582" s="9" t="n">
        <v>0.1</v>
      </c>
      <c r="I582" s="9" t="n">
        <v>0.3</v>
      </c>
      <c r="J582" s="9" t="n">
        <v>1.1</v>
      </c>
      <c r="K582" s="10" t="n">
        <f aca="false">SUM(D582:J582)</f>
        <v>5.9</v>
      </c>
    </row>
    <row r="583" customFormat="false" ht="15" hidden="false" customHeight="false" outlineLevel="0" collapsed="false">
      <c r="A583" s="42"/>
      <c r="B583" s="42"/>
      <c r="C583" s="11" t="s">
        <v>41</v>
      </c>
      <c r="D583" s="14" t="n">
        <f aca="false">IFERROR((D582-D581)/D581,0)</f>
        <v>-0.766666666666667</v>
      </c>
      <c r="E583" s="14" t="n">
        <f aca="false">IFERROR((E582-E581)/E581,0)</f>
        <v>0</v>
      </c>
      <c r="F583" s="14" t="n">
        <f aca="false">IFERROR((F582-F581)/F581,0)</f>
        <v>-0.05</v>
      </c>
      <c r="G583" s="14" t="n">
        <f aca="false">IFERROR((G582-G581)/G581,0)</f>
        <v>0</v>
      </c>
      <c r="H583" s="14" t="n">
        <f aca="false">IFERROR((H582-H581)/H581,0)</f>
        <v>-0.9</v>
      </c>
      <c r="I583" s="14" t="n">
        <f aca="false">IFERROR((I582-I581)/I581,0)</f>
        <v>0</v>
      </c>
      <c r="J583" s="14" t="n">
        <f aca="false">IFERROR((J582-J581)/J581,0)</f>
        <v>0</v>
      </c>
      <c r="K583" s="15" t="n">
        <f aca="false">IFERROR((SUM(D582:J582)-SUM(D581:J581))/SUM(D581:J581),0)</f>
        <v>-0.508333333333333</v>
      </c>
    </row>
    <row r="584" customFormat="false" ht="15" hidden="false" customHeight="true" outlineLevel="0" collapsed="false">
      <c r="A584" s="42" t="s">
        <v>495</v>
      </c>
      <c r="B584" s="43" t="s">
        <v>496</v>
      </c>
      <c r="C584" s="5" t="s">
        <v>26</v>
      </c>
      <c r="D584" s="6" t="n">
        <v>6</v>
      </c>
      <c r="E584" s="6" t="n">
        <v>2</v>
      </c>
      <c r="F584" s="6" t="n">
        <v>1</v>
      </c>
      <c r="G584" s="6" t="n">
        <v>0</v>
      </c>
      <c r="H584" s="6" t="n">
        <v>1</v>
      </c>
      <c r="I584" s="6" t="n">
        <v>1</v>
      </c>
      <c r="J584" s="6" t="n">
        <v>1</v>
      </c>
      <c r="K584" s="7" t="n">
        <f aca="false">SUM(D584:J584)</f>
        <v>12</v>
      </c>
    </row>
    <row r="585" customFormat="false" ht="15" hidden="false" customHeight="false" outlineLevel="0" collapsed="false">
      <c r="A585" s="42"/>
      <c r="B585" s="42"/>
      <c r="C585" s="44" t="s">
        <v>14</v>
      </c>
      <c r="D585" s="9" t="n">
        <v>2.2</v>
      </c>
      <c r="E585" s="9" t="n">
        <v>2.2</v>
      </c>
      <c r="F585" s="9" t="n">
        <v>1.1</v>
      </c>
      <c r="G585" s="9" t="n">
        <v>0.3</v>
      </c>
      <c r="H585" s="9" t="n">
        <v>1.8</v>
      </c>
      <c r="I585" s="9" t="n">
        <v>2.6</v>
      </c>
      <c r="J585" s="9" t="n">
        <v>2</v>
      </c>
      <c r="K585" s="10" t="n">
        <f aca="false">SUM(D585:J585)</f>
        <v>12.2</v>
      </c>
    </row>
    <row r="586" customFormat="false" ht="15" hidden="false" customHeight="false" outlineLevel="0" collapsed="false">
      <c r="A586" s="42"/>
      <c r="B586" s="42"/>
      <c r="C586" s="11" t="s">
        <v>41</v>
      </c>
      <c r="D586" s="14" t="n">
        <f aca="false">IFERROR((D585-D584)/D584,0)</f>
        <v>-0.633333333333333</v>
      </c>
      <c r="E586" s="14" t="n">
        <f aca="false">IFERROR((E585-E584)/E584,0)</f>
        <v>0.1</v>
      </c>
      <c r="F586" s="14" t="n">
        <f aca="false">IFERROR((F585-F584)/F584,0)</f>
        <v>0.1</v>
      </c>
      <c r="G586" s="14" t="n">
        <f aca="false">IFERROR((G585-G584)/G584,0)</f>
        <v>0</v>
      </c>
      <c r="H586" s="14" t="n">
        <f aca="false">IFERROR((H585-H584)/H584,0)</f>
        <v>0.8</v>
      </c>
      <c r="I586" s="14" t="n">
        <f aca="false">IFERROR((I585-I584)/I584,0)</f>
        <v>1.6</v>
      </c>
      <c r="J586" s="14" t="n">
        <f aca="false">IFERROR((J585-J584)/J584,0)</f>
        <v>1</v>
      </c>
      <c r="K586" s="15" t="n">
        <f aca="false">IFERROR((SUM(D585:J585)-SUM(D584:J584))/SUM(D584:J584),0)</f>
        <v>0.0166666666666668</v>
      </c>
    </row>
    <row r="587" customFormat="false" ht="15" hidden="false" customHeight="true" outlineLevel="0" collapsed="false">
      <c r="A587" s="42" t="s">
        <v>497</v>
      </c>
      <c r="B587" s="43" t="s">
        <v>498</v>
      </c>
      <c r="C587" s="5" t="s">
        <v>26</v>
      </c>
      <c r="D587" s="6" t="n">
        <v>3</v>
      </c>
      <c r="E587" s="6" t="n">
        <v>1</v>
      </c>
      <c r="F587" s="6" t="n">
        <v>5</v>
      </c>
      <c r="G587" s="6" t="n">
        <v>0</v>
      </c>
      <c r="H587" s="6" t="n">
        <v>1</v>
      </c>
      <c r="I587" s="6" t="n">
        <v>1</v>
      </c>
      <c r="J587" s="6" t="n">
        <v>0</v>
      </c>
      <c r="K587" s="7" t="n">
        <f aca="false">SUM(D587:J587)</f>
        <v>11</v>
      </c>
    </row>
    <row r="588" customFormat="false" ht="15" hidden="false" customHeight="false" outlineLevel="0" collapsed="false">
      <c r="A588" s="42"/>
      <c r="B588" s="42"/>
      <c r="C588" s="44" t="s">
        <v>14</v>
      </c>
      <c r="D588" s="9" t="n">
        <v>2.5</v>
      </c>
      <c r="E588" s="9" t="n">
        <v>1.3</v>
      </c>
      <c r="F588" s="9" t="n">
        <v>2.2</v>
      </c>
      <c r="G588" s="9" t="n">
        <v>0.1</v>
      </c>
      <c r="H588" s="9" t="n">
        <v>1.2</v>
      </c>
      <c r="I588" s="9" t="n">
        <v>1.5</v>
      </c>
      <c r="J588" s="9" t="n">
        <v>0</v>
      </c>
      <c r="K588" s="10" t="n">
        <f aca="false">SUM(D588:J588)</f>
        <v>8.8</v>
      </c>
    </row>
    <row r="589" customFormat="false" ht="15" hidden="false" customHeight="false" outlineLevel="0" collapsed="false">
      <c r="A589" s="42"/>
      <c r="B589" s="42"/>
      <c r="C589" s="11" t="s">
        <v>41</v>
      </c>
      <c r="D589" s="14" t="n">
        <f aca="false">IFERROR((D588-D587)/D587,0)</f>
        <v>-0.166666666666667</v>
      </c>
      <c r="E589" s="14" t="n">
        <f aca="false">IFERROR((E588-E587)/E587,0)</f>
        <v>0.3</v>
      </c>
      <c r="F589" s="14" t="n">
        <f aca="false">IFERROR((F588-F587)/F587,0)</f>
        <v>-0.56</v>
      </c>
      <c r="G589" s="14" t="n">
        <f aca="false">IFERROR((G588-G587)/G587,0)</f>
        <v>0</v>
      </c>
      <c r="H589" s="14" t="n">
        <f aca="false">IFERROR((H588-H587)/H587,0)</f>
        <v>0.2</v>
      </c>
      <c r="I589" s="14" t="n">
        <f aca="false">IFERROR((I588-I587)/I587,0)</f>
        <v>0.5</v>
      </c>
      <c r="J589" s="14" t="n">
        <f aca="false">IFERROR((J588-J587)/J587,0)</f>
        <v>0</v>
      </c>
      <c r="K589" s="15" t="n">
        <f aca="false">IFERROR((SUM(D588:J588)-SUM(D587:J587))/SUM(D587:J587),0)</f>
        <v>-0.2</v>
      </c>
    </row>
    <row r="590" customFormat="false" ht="15" hidden="false" customHeight="true" outlineLevel="0" collapsed="false">
      <c r="A590" s="42" t="s">
        <v>499</v>
      </c>
      <c r="B590" s="43" t="s">
        <v>500</v>
      </c>
      <c r="C590" s="5" t="s">
        <v>26</v>
      </c>
      <c r="D590" s="6" t="n">
        <v>2</v>
      </c>
      <c r="E590" s="6" t="n">
        <v>2</v>
      </c>
      <c r="F590" s="6" t="n">
        <v>1</v>
      </c>
      <c r="G590" s="6" t="n">
        <v>3</v>
      </c>
      <c r="H590" s="6" t="n">
        <v>2</v>
      </c>
      <c r="I590" s="6" t="n">
        <v>1</v>
      </c>
      <c r="J590" s="6" t="n">
        <v>0</v>
      </c>
      <c r="K590" s="7" t="n">
        <f aca="false">SUM(D590:J590)</f>
        <v>11</v>
      </c>
    </row>
    <row r="591" customFormat="false" ht="15" hidden="false" customHeight="false" outlineLevel="0" collapsed="false">
      <c r="A591" s="42"/>
      <c r="B591" s="42"/>
      <c r="C591" s="44" t="s">
        <v>14</v>
      </c>
      <c r="D591" s="9" t="n">
        <v>4</v>
      </c>
      <c r="E591" s="9" t="n">
        <v>3.7</v>
      </c>
      <c r="F591" s="9" t="n">
        <v>1.6</v>
      </c>
      <c r="G591" s="9" t="n">
        <v>3.2</v>
      </c>
      <c r="H591" s="9" t="n">
        <v>2</v>
      </c>
      <c r="I591" s="9" t="n">
        <v>1.5</v>
      </c>
      <c r="J591" s="9" t="n">
        <v>0.3</v>
      </c>
      <c r="K591" s="10" t="n">
        <f aca="false">SUM(D591:J591)</f>
        <v>16.3</v>
      </c>
    </row>
    <row r="592" customFormat="false" ht="15" hidden="false" customHeight="false" outlineLevel="0" collapsed="false">
      <c r="A592" s="42"/>
      <c r="B592" s="42"/>
      <c r="C592" s="11" t="s">
        <v>41</v>
      </c>
      <c r="D592" s="14" t="n">
        <f aca="false">IFERROR((D591-D590)/D590,0)</f>
        <v>1</v>
      </c>
      <c r="E592" s="14" t="n">
        <f aca="false">IFERROR((E591-E590)/E590,0)</f>
        <v>0.85</v>
      </c>
      <c r="F592" s="14" t="n">
        <f aca="false">IFERROR((F591-F590)/F590,0)</f>
        <v>0.6</v>
      </c>
      <c r="G592" s="14" t="n">
        <f aca="false">IFERROR((G591-G590)/G590,0)</f>
        <v>0.0666666666666667</v>
      </c>
      <c r="H592" s="14" t="n">
        <f aca="false">IFERROR((H591-H590)/H590,0)</f>
        <v>0</v>
      </c>
      <c r="I592" s="14" t="n">
        <f aca="false">IFERROR((I591-I590)/I590,0)</f>
        <v>0.5</v>
      </c>
      <c r="J592" s="14" t="n">
        <f aca="false">IFERROR((J591-J590)/J590,0)</f>
        <v>0</v>
      </c>
      <c r="K592" s="15" t="n">
        <f aca="false">IFERROR((SUM(D591:J591)-SUM(D590:J590))/SUM(D590:J590),0)</f>
        <v>0.481818181818182</v>
      </c>
    </row>
    <row r="593" customFormat="false" ht="15" hidden="false" customHeight="true" outlineLevel="0" collapsed="false">
      <c r="A593" s="42" t="s">
        <v>501</v>
      </c>
      <c r="B593" s="43" t="s">
        <v>502</v>
      </c>
      <c r="C593" s="5" t="s">
        <v>26</v>
      </c>
      <c r="D593" s="6" t="n">
        <v>2</v>
      </c>
      <c r="E593" s="6" t="n">
        <v>0</v>
      </c>
      <c r="F593" s="6" t="n">
        <v>1</v>
      </c>
      <c r="G593" s="6" t="n">
        <v>3</v>
      </c>
      <c r="H593" s="6" t="n">
        <v>0</v>
      </c>
      <c r="I593" s="6" t="n">
        <v>4</v>
      </c>
      <c r="J593" s="6" t="n">
        <v>1</v>
      </c>
      <c r="K593" s="7" t="n">
        <f aca="false">SUM(D593:J593)</f>
        <v>11</v>
      </c>
    </row>
    <row r="594" customFormat="false" ht="15" hidden="false" customHeight="false" outlineLevel="0" collapsed="false">
      <c r="A594" s="42"/>
      <c r="B594" s="42"/>
      <c r="C594" s="44" t="s">
        <v>14</v>
      </c>
      <c r="D594" s="9" t="n">
        <v>0.8</v>
      </c>
      <c r="E594" s="9" t="n">
        <v>0</v>
      </c>
      <c r="F594" s="9" t="n">
        <v>0.7</v>
      </c>
      <c r="G594" s="9" t="n">
        <v>1.1</v>
      </c>
      <c r="H594" s="9" t="n">
        <v>0</v>
      </c>
      <c r="I594" s="9" t="n">
        <v>2.2</v>
      </c>
      <c r="J594" s="9" t="n">
        <v>1.1</v>
      </c>
      <c r="K594" s="10" t="n">
        <f aca="false">SUM(D594:J594)</f>
        <v>5.9</v>
      </c>
    </row>
    <row r="595" customFormat="false" ht="15" hidden="false" customHeight="false" outlineLevel="0" collapsed="false">
      <c r="A595" s="42"/>
      <c r="B595" s="42"/>
      <c r="C595" s="11" t="s">
        <v>41</v>
      </c>
      <c r="D595" s="14" t="n">
        <f aca="false">IFERROR((D594-D593)/D593,0)</f>
        <v>-0.6</v>
      </c>
      <c r="E595" s="14" t="n">
        <f aca="false">IFERROR((E594-E593)/E593,0)</f>
        <v>0</v>
      </c>
      <c r="F595" s="14" t="n">
        <f aca="false">IFERROR((F594-F593)/F593,0)</f>
        <v>-0.3</v>
      </c>
      <c r="G595" s="14" t="n">
        <f aca="false">IFERROR((G594-G593)/G593,0)</f>
        <v>-0.633333333333333</v>
      </c>
      <c r="H595" s="14" t="n">
        <f aca="false">IFERROR((H594-H593)/H593,0)</f>
        <v>0</v>
      </c>
      <c r="I595" s="14" t="n">
        <f aca="false">IFERROR((I594-I593)/I593,0)</f>
        <v>-0.45</v>
      </c>
      <c r="J595" s="14" t="n">
        <f aca="false">IFERROR((J594-J593)/J593,0)</f>
        <v>0.1</v>
      </c>
      <c r="K595" s="15" t="n">
        <f aca="false">IFERROR((SUM(D594:J594)-SUM(D593:J593))/SUM(D593:J593),0)</f>
        <v>-0.463636363636364</v>
      </c>
    </row>
    <row r="596" customFormat="false" ht="15" hidden="false" customHeight="true" outlineLevel="0" collapsed="false">
      <c r="A596" s="42" t="s">
        <v>503</v>
      </c>
      <c r="B596" s="43" t="s">
        <v>504</v>
      </c>
      <c r="C596" s="5" t="s">
        <v>26</v>
      </c>
      <c r="D596" s="6" t="n">
        <v>2</v>
      </c>
      <c r="E596" s="6" t="n">
        <v>1</v>
      </c>
      <c r="F596" s="6" t="n">
        <v>4</v>
      </c>
      <c r="G596" s="6" t="n">
        <v>3</v>
      </c>
      <c r="H596" s="6" t="n">
        <v>0</v>
      </c>
      <c r="I596" s="6" t="n">
        <v>0</v>
      </c>
      <c r="J596" s="6" t="n">
        <v>0</v>
      </c>
      <c r="K596" s="7" t="n">
        <f aca="false">SUM(D596:J596)</f>
        <v>10</v>
      </c>
    </row>
    <row r="597" customFormat="false" ht="15" hidden="false" customHeight="false" outlineLevel="0" collapsed="false">
      <c r="A597" s="42"/>
      <c r="B597" s="42"/>
      <c r="C597" s="44" t="s">
        <v>14</v>
      </c>
      <c r="D597" s="9" t="n">
        <v>1.3</v>
      </c>
      <c r="E597" s="9" t="n">
        <v>1.1</v>
      </c>
      <c r="F597" s="9" t="n">
        <v>2.3</v>
      </c>
      <c r="G597" s="9" t="n">
        <v>1.4</v>
      </c>
      <c r="H597" s="9" t="n">
        <v>1.3</v>
      </c>
      <c r="I597" s="9" t="n">
        <v>3.2</v>
      </c>
      <c r="J597" s="9" t="n">
        <v>1.7</v>
      </c>
      <c r="K597" s="10" t="n">
        <f aca="false">SUM(D597:J597)</f>
        <v>12.3</v>
      </c>
    </row>
    <row r="598" customFormat="false" ht="15" hidden="false" customHeight="false" outlineLevel="0" collapsed="false">
      <c r="A598" s="42"/>
      <c r="B598" s="42"/>
      <c r="C598" s="11" t="s">
        <v>41</v>
      </c>
      <c r="D598" s="14" t="n">
        <f aca="false">IFERROR((D597-D596)/D596,0)</f>
        <v>-0.35</v>
      </c>
      <c r="E598" s="14" t="n">
        <f aca="false">IFERROR((E597-E596)/E596,0)</f>
        <v>0.1</v>
      </c>
      <c r="F598" s="14" t="n">
        <f aca="false">IFERROR((F597-F596)/F596,0)</f>
        <v>-0.425</v>
      </c>
      <c r="G598" s="14" t="n">
        <f aca="false">IFERROR((G597-G596)/G596,0)</f>
        <v>-0.533333333333333</v>
      </c>
      <c r="H598" s="14" t="n">
        <f aca="false">IFERROR((H597-H596)/H596,0)</f>
        <v>0</v>
      </c>
      <c r="I598" s="14" t="n">
        <f aca="false">IFERROR((I597-I596)/I596,0)</f>
        <v>0</v>
      </c>
      <c r="J598" s="14" t="n">
        <f aca="false">IFERROR((J597-J596)/J596,0)</f>
        <v>0</v>
      </c>
      <c r="K598" s="15" t="n">
        <f aca="false">IFERROR((SUM(D597:J597)-SUM(D596:J596))/SUM(D596:J596),0)</f>
        <v>0.23</v>
      </c>
    </row>
    <row r="599" customFormat="false" ht="15" hidden="false" customHeight="true" outlineLevel="0" collapsed="false">
      <c r="A599" s="42" t="s">
        <v>505</v>
      </c>
      <c r="B599" s="43" t="s">
        <v>506</v>
      </c>
      <c r="C599" s="5" t="s">
        <v>26</v>
      </c>
      <c r="D599" s="6" t="n">
        <v>0</v>
      </c>
      <c r="E599" s="6" t="n">
        <v>1</v>
      </c>
      <c r="F599" s="6" t="n">
        <v>1</v>
      </c>
      <c r="G599" s="6" t="n">
        <v>2</v>
      </c>
      <c r="H599" s="6" t="n">
        <v>2</v>
      </c>
      <c r="I599" s="6" t="n">
        <v>1</v>
      </c>
      <c r="J599" s="6" t="n">
        <v>2</v>
      </c>
      <c r="K599" s="7" t="n">
        <f aca="false">SUM(D599:J599)</f>
        <v>9</v>
      </c>
    </row>
    <row r="600" customFormat="false" ht="15" hidden="false" customHeight="false" outlineLevel="0" collapsed="false">
      <c r="A600" s="42"/>
      <c r="B600" s="42"/>
      <c r="C600" s="44" t="s">
        <v>14</v>
      </c>
      <c r="D600" s="9" t="n">
        <v>0</v>
      </c>
      <c r="E600" s="9" t="n">
        <v>0.9</v>
      </c>
      <c r="F600" s="9" t="n">
        <v>0.3</v>
      </c>
      <c r="G600" s="9" t="n">
        <v>0.9</v>
      </c>
      <c r="H600" s="9" t="n">
        <v>1.3</v>
      </c>
      <c r="I600" s="9" t="n">
        <v>2.3</v>
      </c>
      <c r="J600" s="9" t="n">
        <v>1.1</v>
      </c>
      <c r="K600" s="10" t="n">
        <f aca="false">SUM(D600:J600)</f>
        <v>6.8</v>
      </c>
    </row>
    <row r="601" customFormat="false" ht="15" hidden="false" customHeight="false" outlineLevel="0" collapsed="false">
      <c r="A601" s="42"/>
      <c r="B601" s="42"/>
      <c r="C601" s="11" t="s">
        <v>41</v>
      </c>
      <c r="D601" s="14" t="n">
        <f aca="false">IFERROR((D600-D599)/D599,0)</f>
        <v>0</v>
      </c>
      <c r="E601" s="14" t="n">
        <f aca="false">IFERROR((E600-E599)/E599,0)</f>
        <v>-0.1</v>
      </c>
      <c r="F601" s="14" t="n">
        <f aca="false">IFERROR((F600-F599)/F599,0)</f>
        <v>-0.7</v>
      </c>
      <c r="G601" s="14" t="n">
        <f aca="false">IFERROR((G600-G599)/G599,0)</f>
        <v>-0.55</v>
      </c>
      <c r="H601" s="14" t="n">
        <f aca="false">IFERROR((H600-H599)/H599,0)</f>
        <v>-0.35</v>
      </c>
      <c r="I601" s="14" t="n">
        <f aca="false">IFERROR((I600-I599)/I599,0)</f>
        <v>1.3</v>
      </c>
      <c r="J601" s="14" t="n">
        <f aca="false">IFERROR((J600-J599)/J599,0)</f>
        <v>-0.45</v>
      </c>
      <c r="K601" s="15" t="n">
        <f aca="false">IFERROR((SUM(D600:J600)-SUM(D599:J599))/SUM(D599:J599),0)</f>
        <v>-0.244444444444444</v>
      </c>
    </row>
    <row r="602" customFormat="false" ht="15" hidden="false" customHeight="true" outlineLevel="0" collapsed="false">
      <c r="A602" s="42" t="s">
        <v>507</v>
      </c>
      <c r="B602" s="43" t="s">
        <v>508</v>
      </c>
      <c r="C602" s="5" t="s">
        <v>26</v>
      </c>
      <c r="D602" s="6" t="n">
        <v>2</v>
      </c>
      <c r="E602" s="6" t="n">
        <v>1</v>
      </c>
      <c r="F602" s="6" t="n">
        <v>0</v>
      </c>
      <c r="G602" s="6" t="n">
        <v>1</v>
      </c>
      <c r="H602" s="6" t="n">
        <v>1</v>
      </c>
      <c r="I602" s="6" t="n">
        <v>4</v>
      </c>
      <c r="J602" s="6" t="n">
        <v>0</v>
      </c>
      <c r="K602" s="7" t="n">
        <f aca="false">SUM(D602:J602)</f>
        <v>9</v>
      </c>
    </row>
    <row r="603" customFormat="false" ht="15" hidden="false" customHeight="false" outlineLevel="0" collapsed="false">
      <c r="A603" s="42"/>
      <c r="B603" s="42"/>
      <c r="C603" s="44" t="s">
        <v>14</v>
      </c>
      <c r="D603" s="9" t="n">
        <v>1.3</v>
      </c>
      <c r="E603" s="9" t="n">
        <v>1.4</v>
      </c>
      <c r="F603" s="9" t="n">
        <v>0.4</v>
      </c>
      <c r="G603" s="9" t="n">
        <v>1.7</v>
      </c>
      <c r="H603" s="9" t="n">
        <v>1.3</v>
      </c>
      <c r="I603" s="9" t="n">
        <v>6.5</v>
      </c>
      <c r="J603" s="9" t="n">
        <v>0.7</v>
      </c>
      <c r="K603" s="10" t="n">
        <f aca="false">SUM(D603:J603)</f>
        <v>13.3</v>
      </c>
    </row>
    <row r="604" customFormat="false" ht="15" hidden="false" customHeight="false" outlineLevel="0" collapsed="false">
      <c r="A604" s="42"/>
      <c r="B604" s="42"/>
      <c r="C604" s="11" t="s">
        <v>41</v>
      </c>
      <c r="D604" s="14" t="n">
        <f aca="false">IFERROR((D603-D602)/D602,0)</f>
        <v>-0.35</v>
      </c>
      <c r="E604" s="14" t="n">
        <f aca="false">IFERROR((E603-E602)/E602,0)</f>
        <v>0.4</v>
      </c>
      <c r="F604" s="14" t="n">
        <f aca="false">IFERROR((F603-F602)/F602,0)</f>
        <v>0</v>
      </c>
      <c r="G604" s="14" t="n">
        <f aca="false">IFERROR((G603-G602)/G602,0)</f>
        <v>0.7</v>
      </c>
      <c r="H604" s="14" t="n">
        <f aca="false">IFERROR((H603-H602)/H602,0)</f>
        <v>0.3</v>
      </c>
      <c r="I604" s="14" t="n">
        <f aca="false">IFERROR((I603-I602)/I602,0)</f>
        <v>0.625</v>
      </c>
      <c r="J604" s="14" t="n">
        <f aca="false">IFERROR((J603-J602)/J602,0)</f>
        <v>0</v>
      </c>
      <c r="K604" s="15" t="n">
        <f aca="false">IFERROR((SUM(D603:J603)-SUM(D602:J602))/SUM(D602:J602),0)</f>
        <v>0.477777777777778</v>
      </c>
    </row>
    <row r="605" customFormat="false" ht="15" hidden="false" customHeight="true" outlineLevel="0" collapsed="false">
      <c r="A605" s="42" t="s">
        <v>509</v>
      </c>
      <c r="B605" s="43" t="s">
        <v>510</v>
      </c>
      <c r="C605" s="5" t="s">
        <v>26</v>
      </c>
      <c r="D605" s="6" t="n">
        <v>0</v>
      </c>
      <c r="E605" s="6" t="n">
        <v>0</v>
      </c>
      <c r="F605" s="6" t="n">
        <v>0</v>
      </c>
      <c r="G605" s="6" t="n">
        <v>3</v>
      </c>
      <c r="H605" s="6" t="n">
        <v>2</v>
      </c>
      <c r="I605" s="6" t="n">
        <v>3</v>
      </c>
      <c r="J605" s="6" t="n">
        <v>0</v>
      </c>
      <c r="K605" s="7" t="n">
        <f aca="false">SUM(D605:J605)</f>
        <v>8</v>
      </c>
    </row>
    <row r="606" customFormat="false" ht="15" hidden="false" customHeight="false" outlineLevel="0" collapsed="false">
      <c r="A606" s="42"/>
      <c r="B606" s="42"/>
      <c r="C606" s="44" t="s">
        <v>14</v>
      </c>
      <c r="D606" s="9" t="n">
        <v>0.5</v>
      </c>
      <c r="E606" s="9" t="n">
        <v>0.6</v>
      </c>
      <c r="F606" s="9" t="n">
        <v>0.9</v>
      </c>
      <c r="G606" s="9" t="n">
        <v>1.3</v>
      </c>
      <c r="H606" s="9" t="n">
        <v>1.5</v>
      </c>
      <c r="I606" s="9" t="n">
        <v>2.3</v>
      </c>
      <c r="J606" s="9" t="n">
        <v>1.2</v>
      </c>
      <c r="K606" s="10" t="n">
        <f aca="false">SUM(D606:J606)</f>
        <v>8.3</v>
      </c>
    </row>
    <row r="607" customFormat="false" ht="15" hidden="false" customHeight="false" outlineLevel="0" collapsed="false">
      <c r="A607" s="42"/>
      <c r="B607" s="42"/>
      <c r="C607" s="11" t="s">
        <v>41</v>
      </c>
      <c r="D607" s="14" t="n">
        <f aca="false">IFERROR((D606-D605)/D605,0)</f>
        <v>0</v>
      </c>
      <c r="E607" s="14" t="n">
        <f aca="false">IFERROR((E606-E605)/E605,0)</f>
        <v>0</v>
      </c>
      <c r="F607" s="14" t="n">
        <f aca="false">IFERROR((F606-F605)/F605,0)</f>
        <v>0</v>
      </c>
      <c r="G607" s="14" t="n">
        <f aca="false">IFERROR((G606-G605)/G605,0)</f>
        <v>-0.566666666666667</v>
      </c>
      <c r="H607" s="14" t="n">
        <f aca="false">IFERROR((H606-H605)/H605,0)</f>
        <v>-0.25</v>
      </c>
      <c r="I607" s="14" t="n">
        <f aca="false">IFERROR((I606-I605)/I605,0)</f>
        <v>-0.233333333333333</v>
      </c>
      <c r="J607" s="14" t="n">
        <f aca="false">IFERROR((J606-J605)/J605,0)</f>
        <v>0</v>
      </c>
      <c r="K607" s="15" t="n">
        <f aca="false">IFERROR((SUM(D606:J606)-SUM(D605:J605))/SUM(D605:J605),0)</f>
        <v>0.0374999999999999</v>
      </c>
    </row>
    <row r="608" customFormat="false" ht="15" hidden="false" customHeight="true" outlineLevel="0" collapsed="false">
      <c r="A608" s="42" t="s">
        <v>511</v>
      </c>
      <c r="B608" s="43" t="s">
        <v>512</v>
      </c>
      <c r="C608" s="5" t="s">
        <v>26</v>
      </c>
      <c r="D608" s="6" t="n">
        <v>1</v>
      </c>
      <c r="E608" s="6" t="n">
        <v>1</v>
      </c>
      <c r="F608" s="6" t="n">
        <v>1</v>
      </c>
      <c r="G608" s="6" t="n">
        <v>1</v>
      </c>
      <c r="H608" s="6" t="n">
        <v>1</v>
      </c>
      <c r="I608" s="6" t="n">
        <v>2</v>
      </c>
      <c r="J608" s="6" t="n">
        <v>1</v>
      </c>
      <c r="K608" s="7" t="n">
        <f aca="false">SUM(D608:J608)</f>
        <v>8</v>
      </c>
    </row>
    <row r="609" customFormat="false" ht="15" hidden="false" customHeight="false" outlineLevel="0" collapsed="false">
      <c r="A609" s="42"/>
      <c r="B609" s="42"/>
      <c r="C609" s="44" t="s">
        <v>14</v>
      </c>
      <c r="D609" s="9" t="n">
        <v>1.1</v>
      </c>
      <c r="E609" s="9" t="n">
        <v>0.3</v>
      </c>
      <c r="F609" s="9" t="n">
        <v>1.3</v>
      </c>
      <c r="G609" s="9" t="n">
        <v>1.6</v>
      </c>
      <c r="H609" s="9" t="n">
        <v>0.7</v>
      </c>
      <c r="I609" s="9" t="n">
        <v>2.1</v>
      </c>
      <c r="J609" s="9" t="n">
        <v>1.1</v>
      </c>
      <c r="K609" s="10" t="n">
        <f aca="false">SUM(D609:J609)</f>
        <v>8.2</v>
      </c>
    </row>
    <row r="610" customFormat="false" ht="15" hidden="false" customHeight="false" outlineLevel="0" collapsed="false">
      <c r="A610" s="42"/>
      <c r="B610" s="42"/>
      <c r="C610" s="11" t="s">
        <v>41</v>
      </c>
      <c r="D610" s="14" t="n">
        <f aca="false">IFERROR((D609-D608)/D608,0)</f>
        <v>0.1</v>
      </c>
      <c r="E610" s="14" t="n">
        <f aca="false">IFERROR((E609-E608)/E608,0)</f>
        <v>-0.7</v>
      </c>
      <c r="F610" s="14" t="n">
        <f aca="false">IFERROR((F609-F608)/F608,0)</f>
        <v>0.3</v>
      </c>
      <c r="G610" s="14" t="n">
        <f aca="false">IFERROR((G609-G608)/G608,0)</f>
        <v>0.6</v>
      </c>
      <c r="H610" s="14" t="n">
        <f aca="false">IFERROR((H609-H608)/H608,0)</f>
        <v>-0.3</v>
      </c>
      <c r="I610" s="14" t="n">
        <f aca="false">IFERROR((I609-I608)/I608,0)</f>
        <v>0.05</v>
      </c>
      <c r="J610" s="14" t="n">
        <f aca="false">IFERROR((J609-J608)/J608,0)</f>
        <v>0.1</v>
      </c>
      <c r="K610" s="15" t="n">
        <f aca="false">IFERROR((SUM(D609:J609)-SUM(D608:J608))/SUM(D608:J608),0)</f>
        <v>0.0250000000000001</v>
      </c>
    </row>
    <row r="611" customFormat="false" ht="15" hidden="false" customHeight="true" outlineLevel="0" collapsed="false">
      <c r="A611" s="42" t="s">
        <v>513</v>
      </c>
      <c r="B611" s="43" t="s">
        <v>514</v>
      </c>
      <c r="C611" s="5" t="s">
        <v>26</v>
      </c>
      <c r="D611" s="6" t="n">
        <v>1</v>
      </c>
      <c r="E611" s="6" t="n">
        <v>0</v>
      </c>
      <c r="F611" s="6" t="n">
        <v>1</v>
      </c>
      <c r="G611" s="6" t="n">
        <v>2</v>
      </c>
      <c r="H611" s="6" t="n">
        <v>2</v>
      </c>
      <c r="I611" s="6" t="n">
        <v>0</v>
      </c>
      <c r="J611" s="6" t="n">
        <v>2</v>
      </c>
      <c r="K611" s="7" t="n">
        <f aca="false">SUM(D611:J611)</f>
        <v>8</v>
      </c>
    </row>
    <row r="612" customFormat="false" ht="15" hidden="false" customHeight="false" outlineLevel="0" collapsed="false">
      <c r="A612" s="42"/>
      <c r="B612" s="42"/>
      <c r="C612" s="44" t="s">
        <v>14</v>
      </c>
      <c r="D612" s="9" t="n">
        <v>1</v>
      </c>
      <c r="E612" s="9" t="n">
        <v>0.8</v>
      </c>
      <c r="F612" s="9" t="n">
        <v>2.3</v>
      </c>
      <c r="G612" s="9" t="n">
        <v>2</v>
      </c>
      <c r="H612" s="9" t="n">
        <v>2</v>
      </c>
      <c r="I612" s="9" t="n">
        <v>0.9</v>
      </c>
      <c r="J612" s="9" t="n">
        <v>3.1</v>
      </c>
      <c r="K612" s="10" t="n">
        <f aca="false">SUM(D612:J612)</f>
        <v>12.1</v>
      </c>
    </row>
    <row r="613" customFormat="false" ht="15" hidden="false" customHeight="false" outlineLevel="0" collapsed="false">
      <c r="A613" s="42"/>
      <c r="B613" s="42"/>
      <c r="C613" s="11" t="s">
        <v>41</v>
      </c>
      <c r="D613" s="14" t="n">
        <f aca="false">IFERROR((D612-D611)/D611,0)</f>
        <v>0</v>
      </c>
      <c r="E613" s="14" t="n">
        <f aca="false">IFERROR((E612-E611)/E611,0)</f>
        <v>0</v>
      </c>
      <c r="F613" s="14" t="n">
        <f aca="false">IFERROR((F612-F611)/F611,0)</f>
        <v>1.3</v>
      </c>
      <c r="G613" s="14" t="n">
        <f aca="false">IFERROR((G612-G611)/G611,0)</f>
        <v>0</v>
      </c>
      <c r="H613" s="14" t="n">
        <f aca="false">IFERROR((H612-H611)/H611,0)</f>
        <v>0</v>
      </c>
      <c r="I613" s="14" t="n">
        <f aca="false">IFERROR((I612-I611)/I611,0)</f>
        <v>0</v>
      </c>
      <c r="J613" s="14" t="n">
        <f aca="false">IFERROR((J612-J611)/J611,0)</f>
        <v>0.55</v>
      </c>
      <c r="K613" s="15" t="n">
        <f aca="false">IFERROR((SUM(D612:J612)-SUM(D611:J611))/SUM(D611:J611),0)</f>
        <v>0.5125</v>
      </c>
    </row>
    <row r="614" customFormat="false" ht="15" hidden="false" customHeight="true" outlineLevel="0" collapsed="false">
      <c r="A614" s="42" t="s">
        <v>515</v>
      </c>
      <c r="B614" s="43" t="s">
        <v>516</v>
      </c>
      <c r="C614" s="5" t="s">
        <v>26</v>
      </c>
      <c r="D614" s="6" t="n">
        <v>5</v>
      </c>
      <c r="E614" s="6" t="n">
        <v>2</v>
      </c>
      <c r="F614" s="6" t="n">
        <v>1</v>
      </c>
      <c r="G614" s="6" t="n">
        <v>0</v>
      </c>
      <c r="H614" s="6" t="n">
        <v>0</v>
      </c>
      <c r="I614" s="6" t="n">
        <v>0</v>
      </c>
      <c r="J614" s="6" t="n">
        <v>0</v>
      </c>
      <c r="K614" s="7" t="n">
        <f aca="false">SUM(D614:J614)</f>
        <v>8</v>
      </c>
    </row>
    <row r="615" customFormat="false" ht="15" hidden="false" customHeight="false" outlineLevel="0" collapsed="false">
      <c r="A615" s="42"/>
      <c r="B615" s="42"/>
      <c r="C615" s="44" t="s">
        <v>14</v>
      </c>
      <c r="D615" s="9" t="n">
        <v>3.8</v>
      </c>
      <c r="E615" s="9" t="n">
        <v>1.2</v>
      </c>
      <c r="F615" s="9" t="n">
        <v>0.6</v>
      </c>
      <c r="G615" s="9" t="n">
        <v>0.3</v>
      </c>
      <c r="H615" s="9" t="n">
        <v>0.3</v>
      </c>
      <c r="I615" s="9" t="n">
        <v>0.2</v>
      </c>
      <c r="J615" s="9" t="n">
        <v>0.1</v>
      </c>
      <c r="K615" s="10" t="n">
        <f aca="false">SUM(D615:J615)</f>
        <v>6.5</v>
      </c>
    </row>
    <row r="616" customFormat="false" ht="15" hidden="false" customHeight="false" outlineLevel="0" collapsed="false">
      <c r="A616" s="42"/>
      <c r="B616" s="42"/>
      <c r="C616" s="11" t="s">
        <v>41</v>
      </c>
      <c r="D616" s="14" t="n">
        <f aca="false">IFERROR((D615-D614)/D614,0)</f>
        <v>-0.24</v>
      </c>
      <c r="E616" s="14" t="n">
        <f aca="false">IFERROR((E615-E614)/E614,0)</f>
        <v>-0.4</v>
      </c>
      <c r="F616" s="14" t="n">
        <f aca="false">IFERROR((F615-F614)/F614,0)</f>
        <v>-0.4</v>
      </c>
      <c r="G616" s="14" t="n">
        <f aca="false">IFERROR((G615-G614)/G614,0)</f>
        <v>0</v>
      </c>
      <c r="H616" s="14" t="n">
        <f aca="false">IFERROR((H615-H614)/H614,0)</f>
        <v>0</v>
      </c>
      <c r="I616" s="14" t="n">
        <f aca="false">IFERROR((I615-I614)/I614,0)</f>
        <v>0</v>
      </c>
      <c r="J616" s="14" t="n">
        <f aca="false">IFERROR((J615-J614)/J614,0)</f>
        <v>0</v>
      </c>
      <c r="K616" s="15" t="n">
        <f aca="false">IFERROR((SUM(D615:J615)-SUM(D614:J614))/SUM(D614:J614),0)</f>
        <v>-0.1875</v>
      </c>
    </row>
    <row r="617" customFormat="false" ht="15" hidden="false" customHeight="true" outlineLevel="0" collapsed="false">
      <c r="A617" s="42" t="s">
        <v>517</v>
      </c>
      <c r="B617" s="43" t="s">
        <v>518</v>
      </c>
      <c r="C617" s="5" t="s">
        <v>26</v>
      </c>
      <c r="D617" s="6" t="n">
        <v>1</v>
      </c>
      <c r="E617" s="6" t="n">
        <v>2</v>
      </c>
      <c r="F617" s="6" t="n">
        <v>0</v>
      </c>
      <c r="G617" s="6" t="n">
        <v>1</v>
      </c>
      <c r="H617" s="6" t="n">
        <v>2</v>
      </c>
      <c r="I617" s="6" t="n">
        <v>1</v>
      </c>
      <c r="J617" s="6" t="n">
        <v>1</v>
      </c>
      <c r="K617" s="7" t="n">
        <f aca="false">SUM(D617:J617)</f>
        <v>8</v>
      </c>
    </row>
    <row r="618" customFormat="false" ht="15" hidden="false" customHeight="false" outlineLevel="0" collapsed="false">
      <c r="A618" s="42"/>
      <c r="B618" s="42"/>
      <c r="C618" s="44" t="s">
        <v>14</v>
      </c>
      <c r="D618" s="9" t="n">
        <v>0.9</v>
      </c>
      <c r="E618" s="9" t="n">
        <v>2</v>
      </c>
      <c r="F618" s="9" t="n">
        <v>0.2</v>
      </c>
      <c r="G618" s="9" t="n">
        <v>0.9</v>
      </c>
      <c r="H618" s="9" t="n">
        <v>0.9</v>
      </c>
      <c r="I618" s="9" t="n">
        <v>1.5</v>
      </c>
      <c r="J618" s="9" t="n">
        <v>2.1</v>
      </c>
      <c r="K618" s="10" t="n">
        <f aca="false">SUM(D618:J618)</f>
        <v>8.5</v>
      </c>
    </row>
    <row r="619" customFormat="false" ht="15" hidden="false" customHeight="false" outlineLevel="0" collapsed="false">
      <c r="A619" s="42"/>
      <c r="B619" s="42"/>
      <c r="C619" s="11" t="s">
        <v>41</v>
      </c>
      <c r="D619" s="14" t="n">
        <f aca="false">IFERROR((D618-D617)/D617,0)</f>
        <v>-0.1</v>
      </c>
      <c r="E619" s="14" t="n">
        <f aca="false">IFERROR((E618-E617)/E617,0)</f>
        <v>0</v>
      </c>
      <c r="F619" s="14" t="n">
        <f aca="false">IFERROR((F618-F617)/F617,0)</f>
        <v>0</v>
      </c>
      <c r="G619" s="14" t="n">
        <f aca="false">IFERROR((G618-G617)/G617,0)</f>
        <v>-0.1</v>
      </c>
      <c r="H619" s="14" t="n">
        <f aca="false">IFERROR((H618-H617)/H617,0)</f>
        <v>-0.55</v>
      </c>
      <c r="I619" s="14" t="n">
        <f aca="false">IFERROR((I618-I617)/I617,0)</f>
        <v>0.5</v>
      </c>
      <c r="J619" s="14" t="n">
        <f aca="false">IFERROR((J618-J617)/J617,0)</f>
        <v>1.1</v>
      </c>
      <c r="K619" s="15" t="n">
        <f aca="false">IFERROR((SUM(D618:J618)-SUM(D617:J617))/SUM(D617:J617),0)</f>
        <v>0.0625</v>
      </c>
    </row>
    <row r="620" customFormat="false" ht="15" hidden="false" customHeight="true" outlineLevel="0" collapsed="false">
      <c r="A620" s="42" t="s">
        <v>519</v>
      </c>
      <c r="B620" s="43" t="s">
        <v>520</v>
      </c>
      <c r="C620" s="5" t="s">
        <v>26</v>
      </c>
      <c r="D620" s="6" t="n">
        <v>2</v>
      </c>
      <c r="E620" s="6" t="n">
        <v>2</v>
      </c>
      <c r="F620" s="6" t="n">
        <v>2</v>
      </c>
      <c r="G620" s="6" t="n">
        <v>0</v>
      </c>
      <c r="H620" s="6" t="n">
        <v>1</v>
      </c>
      <c r="I620" s="6" t="n">
        <v>1</v>
      </c>
      <c r="J620" s="6" t="n">
        <v>0</v>
      </c>
      <c r="K620" s="7" t="n">
        <f aca="false">SUM(D620:J620)</f>
        <v>8</v>
      </c>
    </row>
    <row r="621" customFormat="false" ht="15" hidden="false" customHeight="false" outlineLevel="0" collapsed="false">
      <c r="A621" s="42"/>
      <c r="B621" s="42"/>
      <c r="C621" s="44" t="s">
        <v>14</v>
      </c>
      <c r="D621" s="9" t="n">
        <v>1.6</v>
      </c>
      <c r="E621" s="9" t="n">
        <v>1.8</v>
      </c>
      <c r="F621" s="9" t="n">
        <v>1.4</v>
      </c>
      <c r="G621" s="9" t="n">
        <v>0.1</v>
      </c>
      <c r="H621" s="9" t="n">
        <v>1.7</v>
      </c>
      <c r="I621" s="9" t="n">
        <v>2.9</v>
      </c>
      <c r="J621" s="9" t="n">
        <v>0.1</v>
      </c>
      <c r="K621" s="10" t="n">
        <f aca="false">SUM(D621:J621)</f>
        <v>9.6</v>
      </c>
    </row>
    <row r="622" customFormat="false" ht="15" hidden="false" customHeight="false" outlineLevel="0" collapsed="false">
      <c r="A622" s="42"/>
      <c r="B622" s="42"/>
      <c r="C622" s="11" t="s">
        <v>41</v>
      </c>
      <c r="D622" s="14" t="n">
        <f aca="false">IFERROR((D621-D620)/D620,0)</f>
        <v>-0.2</v>
      </c>
      <c r="E622" s="14" t="n">
        <f aca="false">IFERROR((E621-E620)/E620,0)</f>
        <v>-0.1</v>
      </c>
      <c r="F622" s="14" t="n">
        <f aca="false">IFERROR((F621-F620)/F620,0)</f>
        <v>-0.3</v>
      </c>
      <c r="G622" s="14" t="n">
        <f aca="false">IFERROR((G621-G620)/G620,0)</f>
        <v>0</v>
      </c>
      <c r="H622" s="14" t="n">
        <f aca="false">IFERROR((H621-H620)/H620,0)</f>
        <v>0.7</v>
      </c>
      <c r="I622" s="14" t="n">
        <f aca="false">IFERROR((I621-I620)/I620,0)</f>
        <v>1.9</v>
      </c>
      <c r="J622" s="14" t="n">
        <f aca="false">IFERROR((J621-J620)/J620,0)</f>
        <v>0</v>
      </c>
      <c r="K622" s="15" t="n">
        <f aca="false">IFERROR((SUM(D621:J621)-SUM(D620:J620))/SUM(D620:J620),0)</f>
        <v>0.2</v>
      </c>
    </row>
    <row r="623" customFormat="false" ht="15" hidden="false" customHeight="true" outlineLevel="0" collapsed="false">
      <c r="A623" s="42" t="s">
        <v>521</v>
      </c>
      <c r="B623" s="43" t="s">
        <v>522</v>
      </c>
      <c r="C623" s="5" t="s">
        <v>26</v>
      </c>
      <c r="D623" s="6" t="n">
        <v>2</v>
      </c>
      <c r="E623" s="6" t="n">
        <v>3</v>
      </c>
      <c r="F623" s="6" t="n">
        <v>1</v>
      </c>
      <c r="G623" s="6" t="n">
        <v>1</v>
      </c>
      <c r="H623" s="6" t="n">
        <v>0</v>
      </c>
      <c r="I623" s="6" t="n">
        <v>0</v>
      </c>
      <c r="J623" s="6" t="n">
        <v>0</v>
      </c>
      <c r="K623" s="7" t="n">
        <f aca="false">SUM(D623:J623)</f>
        <v>7</v>
      </c>
    </row>
    <row r="624" customFormat="false" ht="15" hidden="false" customHeight="false" outlineLevel="0" collapsed="false">
      <c r="A624" s="42"/>
      <c r="B624" s="42"/>
      <c r="C624" s="44" t="s">
        <v>14</v>
      </c>
      <c r="D624" s="9" t="n">
        <v>1.3</v>
      </c>
      <c r="E624" s="9" t="n">
        <v>1.8</v>
      </c>
      <c r="F624" s="9" t="n">
        <v>1.6</v>
      </c>
      <c r="G624" s="9" t="n">
        <v>1.8</v>
      </c>
      <c r="H624" s="9" t="n">
        <v>0.7</v>
      </c>
      <c r="I624" s="9" t="n">
        <v>0.4</v>
      </c>
      <c r="J624" s="9" t="n">
        <v>0.4</v>
      </c>
      <c r="K624" s="10" t="n">
        <f aca="false">SUM(D624:J624)</f>
        <v>8</v>
      </c>
    </row>
    <row r="625" customFormat="false" ht="15" hidden="false" customHeight="false" outlineLevel="0" collapsed="false">
      <c r="A625" s="42"/>
      <c r="B625" s="42"/>
      <c r="C625" s="11" t="s">
        <v>41</v>
      </c>
      <c r="D625" s="14" t="n">
        <f aca="false">IFERROR((D624-D623)/D623,0)</f>
        <v>-0.35</v>
      </c>
      <c r="E625" s="14" t="n">
        <f aca="false">IFERROR((E624-E623)/E623,0)</f>
        <v>-0.4</v>
      </c>
      <c r="F625" s="14" t="n">
        <f aca="false">IFERROR((F624-F623)/F623,0)</f>
        <v>0.6</v>
      </c>
      <c r="G625" s="14" t="n">
        <f aca="false">IFERROR((G624-G623)/G623,0)</f>
        <v>0.8</v>
      </c>
      <c r="H625" s="14" t="n">
        <f aca="false">IFERROR((H624-H623)/H623,0)</f>
        <v>0</v>
      </c>
      <c r="I625" s="14" t="n">
        <f aca="false">IFERROR((I624-I623)/I623,0)</f>
        <v>0</v>
      </c>
      <c r="J625" s="14" t="n">
        <f aca="false">IFERROR((J624-J623)/J623,0)</f>
        <v>0</v>
      </c>
      <c r="K625" s="15" t="n">
        <f aca="false">IFERROR((SUM(D624:J624)-SUM(D623:J623))/SUM(D623:J623),0)</f>
        <v>0.142857142857143</v>
      </c>
    </row>
    <row r="626" customFormat="false" ht="15" hidden="false" customHeight="true" outlineLevel="0" collapsed="false">
      <c r="A626" s="42" t="s">
        <v>523</v>
      </c>
      <c r="B626" s="43" t="s">
        <v>412</v>
      </c>
      <c r="C626" s="5" t="s">
        <v>26</v>
      </c>
      <c r="D626" s="6" t="n">
        <v>2</v>
      </c>
      <c r="E626" s="6" t="n">
        <v>0</v>
      </c>
      <c r="F626" s="6" t="n">
        <v>1</v>
      </c>
      <c r="G626" s="6" t="n">
        <v>0</v>
      </c>
      <c r="H626" s="6" t="n">
        <v>1</v>
      </c>
      <c r="I626" s="6" t="n">
        <v>1</v>
      </c>
      <c r="J626" s="6" t="n">
        <v>2</v>
      </c>
      <c r="K626" s="7" t="n">
        <f aca="false">SUM(D626:J626)</f>
        <v>7</v>
      </c>
    </row>
    <row r="627" customFormat="false" ht="15" hidden="false" customHeight="false" outlineLevel="0" collapsed="false">
      <c r="A627" s="42"/>
      <c r="B627" s="42"/>
      <c r="C627" s="44" t="s">
        <v>14</v>
      </c>
      <c r="D627" s="9" t="n">
        <v>1.8</v>
      </c>
      <c r="E627" s="9" t="n">
        <v>0.4</v>
      </c>
      <c r="F627" s="9" t="n">
        <v>1.2</v>
      </c>
      <c r="G627" s="9" t="n">
        <v>0.3</v>
      </c>
      <c r="H627" s="9" t="n">
        <v>1.5</v>
      </c>
      <c r="I627" s="9" t="n">
        <v>0.2</v>
      </c>
      <c r="J627" s="9" t="n">
        <v>1.6</v>
      </c>
      <c r="K627" s="10" t="n">
        <f aca="false">SUM(D627:J627)</f>
        <v>7</v>
      </c>
    </row>
    <row r="628" customFormat="false" ht="15" hidden="false" customHeight="false" outlineLevel="0" collapsed="false">
      <c r="A628" s="42"/>
      <c r="B628" s="42"/>
      <c r="C628" s="11" t="s">
        <v>41</v>
      </c>
      <c r="D628" s="14" t="n">
        <f aca="false">IFERROR((D627-D626)/D626,0)</f>
        <v>-0.1</v>
      </c>
      <c r="E628" s="14" t="n">
        <f aca="false">IFERROR((E627-E626)/E626,0)</f>
        <v>0</v>
      </c>
      <c r="F628" s="14" t="n">
        <f aca="false">IFERROR((F627-F626)/F626,0)</f>
        <v>0.2</v>
      </c>
      <c r="G628" s="14" t="n">
        <f aca="false">IFERROR((G627-G626)/G626,0)</f>
        <v>0</v>
      </c>
      <c r="H628" s="14" t="n">
        <f aca="false">IFERROR((H627-H626)/H626,0)</f>
        <v>0.5</v>
      </c>
      <c r="I628" s="14" t="n">
        <f aca="false">IFERROR((I627-I626)/I626,0)</f>
        <v>-0.8</v>
      </c>
      <c r="J628" s="14" t="n">
        <f aca="false">IFERROR((J627-J626)/J626,0)</f>
        <v>-0.2</v>
      </c>
      <c r="K628" s="15" t="n">
        <f aca="false">IFERROR((SUM(D627:J627)-SUM(D626:J626))/SUM(D626:J626),0)</f>
        <v>0</v>
      </c>
    </row>
    <row r="629" customFormat="false" ht="15" hidden="false" customHeight="true" outlineLevel="0" collapsed="false">
      <c r="A629" s="42" t="s">
        <v>524</v>
      </c>
      <c r="B629" s="43" t="s">
        <v>525</v>
      </c>
      <c r="C629" s="5" t="s">
        <v>26</v>
      </c>
      <c r="D629" s="6" t="n">
        <v>1</v>
      </c>
      <c r="E629" s="6" t="n">
        <v>2</v>
      </c>
      <c r="F629" s="6" t="n">
        <v>0</v>
      </c>
      <c r="G629" s="6" t="n">
        <v>3</v>
      </c>
      <c r="H629" s="6" t="n">
        <v>0</v>
      </c>
      <c r="I629" s="6" t="n">
        <v>0</v>
      </c>
      <c r="J629" s="6" t="n">
        <v>0</v>
      </c>
      <c r="K629" s="7" t="n">
        <f aca="false">SUM(D629:J629)</f>
        <v>6</v>
      </c>
    </row>
    <row r="630" customFormat="false" ht="15" hidden="false" customHeight="false" outlineLevel="0" collapsed="false">
      <c r="A630" s="42"/>
      <c r="B630" s="42"/>
      <c r="C630" s="44" t="s">
        <v>14</v>
      </c>
      <c r="D630" s="9" t="n">
        <v>0.9</v>
      </c>
      <c r="E630" s="9" t="n">
        <v>2.1</v>
      </c>
      <c r="F630" s="9" t="n">
        <v>0.1</v>
      </c>
      <c r="G630" s="9" t="n">
        <v>1.5</v>
      </c>
      <c r="H630" s="9" t="n">
        <v>0.2</v>
      </c>
      <c r="I630" s="9" t="n">
        <v>0.3</v>
      </c>
      <c r="J630" s="9" t="n">
        <v>0.3</v>
      </c>
      <c r="K630" s="10" t="n">
        <f aca="false">SUM(D630:J630)</f>
        <v>5.4</v>
      </c>
    </row>
    <row r="631" customFormat="false" ht="15" hidden="false" customHeight="false" outlineLevel="0" collapsed="false">
      <c r="A631" s="42"/>
      <c r="B631" s="42"/>
      <c r="C631" s="11" t="s">
        <v>41</v>
      </c>
      <c r="D631" s="14" t="n">
        <f aca="false">IFERROR((D630-D629)/D629,0)</f>
        <v>-0.1</v>
      </c>
      <c r="E631" s="14" t="n">
        <f aca="false">IFERROR((E630-E629)/E629,0)</f>
        <v>0.05</v>
      </c>
      <c r="F631" s="14" t="n">
        <f aca="false">IFERROR((F630-F629)/F629,0)</f>
        <v>0</v>
      </c>
      <c r="G631" s="14" t="n">
        <f aca="false">IFERROR((G630-G629)/G629,0)</f>
        <v>-0.5</v>
      </c>
      <c r="H631" s="14" t="n">
        <f aca="false">IFERROR((H630-H629)/H629,0)</f>
        <v>0</v>
      </c>
      <c r="I631" s="14" t="n">
        <f aca="false">IFERROR((I630-I629)/I629,0)</f>
        <v>0</v>
      </c>
      <c r="J631" s="14" t="n">
        <f aca="false">IFERROR((J630-J629)/J629,0)</f>
        <v>0</v>
      </c>
      <c r="K631" s="15" t="n">
        <f aca="false">IFERROR((SUM(D630:J630)-SUM(D629:J629))/SUM(D629:J629),0)</f>
        <v>-0.0999999999999999</v>
      </c>
    </row>
    <row r="632" customFormat="false" ht="15" hidden="false" customHeight="true" outlineLevel="0" collapsed="false">
      <c r="A632" s="42" t="s">
        <v>526</v>
      </c>
      <c r="B632" s="43" t="s">
        <v>527</v>
      </c>
      <c r="C632" s="5" t="s">
        <v>26</v>
      </c>
      <c r="D632" s="6" t="n">
        <v>1</v>
      </c>
      <c r="E632" s="6" t="n">
        <v>1</v>
      </c>
      <c r="F632" s="6" t="n">
        <v>1</v>
      </c>
      <c r="G632" s="6" t="n">
        <v>2</v>
      </c>
      <c r="H632" s="6" t="n">
        <v>0</v>
      </c>
      <c r="I632" s="6" t="n">
        <v>1</v>
      </c>
      <c r="J632" s="6" t="n">
        <v>0</v>
      </c>
      <c r="K632" s="7" t="n">
        <f aca="false">SUM(D632:J632)</f>
        <v>6</v>
      </c>
    </row>
    <row r="633" customFormat="false" ht="15" hidden="false" customHeight="false" outlineLevel="0" collapsed="false">
      <c r="A633" s="42"/>
      <c r="B633" s="42"/>
      <c r="C633" s="44" t="s">
        <v>14</v>
      </c>
      <c r="D633" s="9" t="n">
        <v>2</v>
      </c>
      <c r="E633" s="9" t="n">
        <v>2.2</v>
      </c>
      <c r="F633" s="9" t="n">
        <v>1.9</v>
      </c>
      <c r="G633" s="9" t="n">
        <v>1.7</v>
      </c>
      <c r="H633" s="9" t="n">
        <v>0.4</v>
      </c>
      <c r="I633" s="9" t="n">
        <v>2.2</v>
      </c>
      <c r="J633" s="9" t="n">
        <v>0.4</v>
      </c>
      <c r="K633" s="10" t="n">
        <f aca="false">SUM(D633:J633)</f>
        <v>10.8</v>
      </c>
    </row>
    <row r="634" customFormat="false" ht="15" hidden="false" customHeight="false" outlineLevel="0" collapsed="false">
      <c r="A634" s="42"/>
      <c r="B634" s="42"/>
      <c r="C634" s="11" t="s">
        <v>41</v>
      </c>
      <c r="D634" s="14" t="n">
        <f aca="false">IFERROR((D633-D632)/D632,0)</f>
        <v>1</v>
      </c>
      <c r="E634" s="14" t="n">
        <f aca="false">IFERROR((E633-E632)/E632,0)</f>
        <v>1.2</v>
      </c>
      <c r="F634" s="14" t="n">
        <f aca="false">IFERROR((F633-F632)/F632,0)</f>
        <v>0.9</v>
      </c>
      <c r="G634" s="14" t="n">
        <f aca="false">IFERROR((G633-G632)/G632,0)</f>
        <v>-0.15</v>
      </c>
      <c r="H634" s="14" t="n">
        <f aca="false">IFERROR((H633-H632)/H632,0)</f>
        <v>0</v>
      </c>
      <c r="I634" s="14" t="n">
        <f aca="false">IFERROR((I633-I632)/I632,0)</f>
        <v>1.2</v>
      </c>
      <c r="J634" s="14" t="n">
        <f aca="false">IFERROR((J633-J632)/J632,0)</f>
        <v>0</v>
      </c>
      <c r="K634" s="15" t="n">
        <f aca="false">IFERROR((SUM(D633:J633)-SUM(D632:J632))/SUM(D632:J632),0)</f>
        <v>0.8</v>
      </c>
    </row>
    <row r="635" customFormat="false" ht="15" hidden="false" customHeight="true" outlineLevel="0" collapsed="false">
      <c r="A635" s="42" t="s">
        <v>528</v>
      </c>
      <c r="B635" s="43" t="s">
        <v>529</v>
      </c>
      <c r="C635" s="5" t="s">
        <v>26</v>
      </c>
      <c r="D635" s="6" t="n">
        <v>1</v>
      </c>
      <c r="E635" s="6" t="n">
        <v>2</v>
      </c>
      <c r="F635" s="6" t="n">
        <v>1</v>
      </c>
      <c r="G635" s="6" t="n">
        <v>2</v>
      </c>
      <c r="H635" s="6" t="n">
        <v>0</v>
      </c>
      <c r="I635" s="6" t="n">
        <v>0</v>
      </c>
      <c r="J635" s="6" t="n">
        <v>0</v>
      </c>
      <c r="K635" s="7" t="n">
        <f aca="false">SUM(D635:J635)</f>
        <v>6</v>
      </c>
    </row>
    <row r="636" customFormat="false" ht="15" hidden="false" customHeight="false" outlineLevel="0" collapsed="false">
      <c r="A636" s="42"/>
      <c r="B636" s="42"/>
      <c r="C636" s="44" t="s">
        <v>14</v>
      </c>
      <c r="D636" s="9" t="n">
        <v>0.6</v>
      </c>
      <c r="E636" s="9" t="n">
        <v>0.2</v>
      </c>
      <c r="F636" s="9" t="n">
        <v>0.9</v>
      </c>
      <c r="G636" s="9" t="n">
        <v>1.3</v>
      </c>
      <c r="H636" s="9" t="n">
        <v>0</v>
      </c>
      <c r="I636" s="9" t="n">
        <v>0.1</v>
      </c>
      <c r="J636" s="9" t="n">
        <v>0</v>
      </c>
      <c r="K636" s="10" t="n">
        <f aca="false">SUM(D636:J636)</f>
        <v>3.1</v>
      </c>
    </row>
    <row r="637" customFormat="false" ht="15" hidden="false" customHeight="false" outlineLevel="0" collapsed="false">
      <c r="A637" s="42"/>
      <c r="B637" s="42"/>
      <c r="C637" s="11" t="s">
        <v>41</v>
      </c>
      <c r="D637" s="14" t="n">
        <f aca="false">IFERROR((D636-D635)/D635,0)</f>
        <v>-0.4</v>
      </c>
      <c r="E637" s="14" t="n">
        <f aca="false">IFERROR((E636-E635)/E635,0)</f>
        <v>-0.9</v>
      </c>
      <c r="F637" s="14" t="n">
        <f aca="false">IFERROR((F636-F635)/F635,0)</f>
        <v>-0.1</v>
      </c>
      <c r="G637" s="14" t="n">
        <f aca="false">IFERROR((G636-G635)/G635,0)</f>
        <v>-0.35</v>
      </c>
      <c r="H637" s="14" t="n">
        <f aca="false">IFERROR((H636-H635)/H635,0)</f>
        <v>0</v>
      </c>
      <c r="I637" s="14" t="n">
        <f aca="false">IFERROR((I636-I635)/I635,0)</f>
        <v>0</v>
      </c>
      <c r="J637" s="14" t="n">
        <f aca="false">IFERROR((J636-J635)/J635,0)</f>
        <v>0</v>
      </c>
      <c r="K637" s="15" t="n">
        <f aca="false">IFERROR((SUM(D636:J636)-SUM(D635:J635))/SUM(D635:J635),0)</f>
        <v>-0.483333333333333</v>
      </c>
    </row>
    <row r="638" customFormat="false" ht="15" hidden="false" customHeight="true" outlineLevel="0" collapsed="false">
      <c r="A638" s="42" t="s">
        <v>530</v>
      </c>
      <c r="B638" s="43" t="s">
        <v>531</v>
      </c>
      <c r="C638" s="5" t="s">
        <v>26</v>
      </c>
      <c r="D638" s="6" t="n">
        <v>1</v>
      </c>
      <c r="E638" s="6" t="n">
        <v>0</v>
      </c>
      <c r="F638" s="6" t="n">
        <v>1</v>
      </c>
      <c r="G638" s="6" t="n">
        <v>2</v>
      </c>
      <c r="H638" s="6" t="n">
        <v>1</v>
      </c>
      <c r="I638" s="6" t="n">
        <v>1</v>
      </c>
      <c r="J638" s="6" t="n">
        <v>0</v>
      </c>
      <c r="K638" s="7" t="n">
        <f aca="false">SUM(D638:J638)</f>
        <v>6</v>
      </c>
    </row>
    <row r="639" customFormat="false" ht="15" hidden="false" customHeight="false" outlineLevel="0" collapsed="false">
      <c r="A639" s="42"/>
      <c r="B639" s="42"/>
      <c r="C639" s="44" t="s">
        <v>14</v>
      </c>
      <c r="D639" s="9" t="n">
        <v>0.6</v>
      </c>
      <c r="E639" s="9" t="n">
        <v>0.1</v>
      </c>
      <c r="F639" s="9" t="n">
        <v>0.3</v>
      </c>
      <c r="G639" s="9" t="n">
        <v>0.4</v>
      </c>
      <c r="H639" s="9" t="n">
        <v>0.4</v>
      </c>
      <c r="I639" s="9" t="n">
        <v>1.1</v>
      </c>
      <c r="J639" s="9" t="n">
        <v>1.1</v>
      </c>
      <c r="K639" s="10" t="n">
        <f aca="false">SUM(D639:J639)</f>
        <v>4</v>
      </c>
    </row>
    <row r="640" customFormat="false" ht="15" hidden="false" customHeight="false" outlineLevel="0" collapsed="false">
      <c r="A640" s="42"/>
      <c r="B640" s="42"/>
      <c r="C640" s="11" t="s">
        <v>41</v>
      </c>
      <c r="D640" s="14" t="n">
        <f aca="false">IFERROR((D639-D638)/D638,0)</f>
        <v>-0.4</v>
      </c>
      <c r="E640" s="14" t="n">
        <f aca="false">IFERROR((E639-E638)/E638,0)</f>
        <v>0</v>
      </c>
      <c r="F640" s="14" t="n">
        <f aca="false">IFERROR((F639-F638)/F638,0)</f>
        <v>-0.7</v>
      </c>
      <c r="G640" s="14" t="n">
        <f aca="false">IFERROR((G639-G638)/G638,0)</f>
        <v>-0.8</v>
      </c>
      <c r="H640" s="14" t="n">
        <f aca="false">IFERROR((H639-H638)/H638,0)</f>
        <v>-0.6</v>
      </c>
      <c r="I640" s="14" t="n">
        <f aca="false">IFERROR((I639-I638)/I638,0)</f>
        <v>0.1</v>
      </c>
      <c r="J640" s="14" t="n">
        <f aca="false">IFERROR((J639-J638)/J638,0)</f>
        <v>0</v>
      </c>
      <c r="K640" s="15" t="n">
        <f aca="false">IFERROR((SUM(D639:J639)-SUM(D638:J638))/SUM(D638:J638),0)</f>
        <v>-0.333333333333333</v>
      </c>
    </row>
    <row r="641" customFormat="false" ht="15" hidden="false" customHeight="true" outlineLevel="0" collapsed="false">
      <c r="A641" s="42" t="s">
        <v>532</v>
      </c>
      <c r="B641" s="43" t="s">
        <v>533</v>
      </c>
      <c r="C641" s="5" t="s">
        <v>26</v>
      </c>
      <c r="D641" s="6" t="n">
        <v>2</v>
      </c>
      <c r="E641" s="6" t="n">
        <v>2</v>
      </c>
      <c r="F641" s="6" t="n">
        <v>2</v>
      </c>
      <c r="G641" s="6" t="n">
        <v>0</v>
      </c>
      <c r="H641" s="6" t="n">
        <v>0</v>
      </c>
      <c r="I641" s="6" t="n">
        <v>0</v>
      </c>
      <c r="J641" s="6" t="n">
        <v>0</v>
      </c>
      <c r="K641" s="7" t="n">
        <f aca="false">SUM(D641:J641)</f>
        <v>6</v>
      </c>
    </row>
    <row r="642" customFormat="false" ht="15" hidden="false" customHeight="false" outlineLevel="0" collapsed="false">
      <c r="A642" s="42"/>
      <c r="B642" s="42"/>
      <c r="C642" s="44" t="s">
        <v>14</v>
      </c>
      <c r="D642" s="9" t="n">
        <v>1.2</v>
      </c>
      <c r="E642" s="9" t="n">
        <v>1.4</v>
      </c>
      <c r="F642" s="9" t="n">
        <v>1.2</v>
      </c>
      <c r="G642" s="9" t="n">
        <v>0.2</v>
      </c>
      <c r="H642" s="9" t="n">
        <v>0.2</v>
      </c>
      <c r="I642" s="9" t="n">
        <v>0.1</v>
      </c>
      <c r="J642" s="9" t="n">
        <v>0</v>
      </c>
      <c r="K642" s="10" t="n">
        <f aca="false">SUM(D642:J642)</f>
        <v>4.3</v>
      </c>
    </row>
    <row r="643" customFormat="false" ht="15" hidden="false" customHeight="false" outlineLevel="0" collapsed="false">
      <c r="A643" s="42"/>
      <c r="B643" s="42"/>
      <c r="C643" s="11" t="s">
        <v>41</v>
      </c>
      <c r="D643" s="14" t="n">
        <f aca="false">IFERROR((D642-D641)/D641,0)</f>
        <v>-0.4</v>
      </c>
      <c r="E643" s="14" t="n">
        <f aca="false">IFERROR((E642-E641)/E641,0)</f>
        <v>-0.3</v>
      </c>
      <c r="F643" s="14" t="n">
        <f aca="false">IFERROR((F642-F641)/F641,0)</f>
        <v>-0.4</v>
      </c>
      <c r="G643" s="14" t="n">
        <f aca="false">IFERROR((G642-G641)/G641,0)</f>
        <v>0</v>
      </c>
      <c r="H643" s="14" t="n">
        <f aca="false">IFERROR((H642-H641)/H641,0)</f>
        <v>0</v>
      </c>
      <c r="I643" s="14" t="n">
        <f aca="false">IFERROR((I642-I641)/I641,0)</f>
        <v>0</v>
      </c>
      <c r="J643" s="14" t="n">
        <f aca="false">IFERROR((J642-J641)/J641,0)</f>
        <v>0</v>
      </c>
      <c r="K643" s="15" t="n">
        <f aca="false">IFERROR((SUM(D642:J642)-SUM(D641:J641))/SUM(D641:J641),0)</f>
        <v>-0.283333333333333</v>
      </c>
    </row>
    <row r="644" customFormat="false" ht="15" hidden="false" customHeight="true" outlineLevel="0" collapsed="false">
      <c r="A644" s="42" t="s">
        <v>534</v>
      </c>
      <c r="B644" s="43" t="s">
        <v>535</v>
      </c>
      <c r="C644" s="5" t="s">
        <v>26</v>
      </c>
      <c r="D644" s="6" t="n">
        <v>0</v>
      </c>
      <c r="E644" s="6" t="n">
        <v>0</v>
      </c>
      <c r="F644" s="6" t="n">
        <v>0</v>
      </c>
      <c r="G644" s="6" t="n">
        <v>2</v>
      </c>
      <c r="H644" s="6" t="n">
        <v>1</v>
      </c>
      <c r="I644" s="6" t="n">
        <v>2</v>
      </c>
      <c r="J644" s="6" t="n">
        <v>1</v>
      </c>
      <c r="K644" s="7" t="n">
        <f aca="false">SUM(D644:J644)</f>
        <v>6</v>
      </c>
    </row>
    <row r="645" customFormat="false" ht="15" hidden="false" customHeight="false" outlineLevel="0" collapsed="false">
      <c r="A645" s="42"/>
      <c r="B645" s="42"/>
      <c r="C645" s="44" t="s">
        <v>14</v>
      </c>
      <c r="D645" s="9" t="n">
        <v>0.9</v>
      </c>
      <c r="E645" s="9" t="n">
        <v>0.6</v>
      </c>
      <c r="F645" s="9" t="n">
        <v>1</v>
      </c>
      <c r="G645" s="9" t="n">
        <v>1.2</v>
      </c>
      <c r="H645" s="9" t="n">
        <v>3.3</v>
      </c>
      <c r="I645" s="9" t="n">
        <v>6.5</v>
      </c>
      <c r="J645" s="9" t="n">
        <v>7.3</v>
      </c>
      <c r="K645" s="10" t="n">
        <f aca="false">SUM(D645:J645)</f>
        <v>20.8</v>
      </c>
    </row>
    <row r="646" customFormat="false" ht="15" hidden="false" customHeight="false" outlineLevel="0" collapsed="false">
      <c r="A646" s="42"/>
      <c r="B646" s="42"/>
      <c r="C646" s="11" t="s">
        <v>41</v>
      </c>
      <c r="D646" s="14" t="n">
        <f aca="false">IFERROR((D645-D644)/D644,0)</f>
        <v>0</v>
      </c>
      <c r="E646" s="14" t="n">
        <f aca="false">IFERROR((E645-E644)/E644,0)</f>
        <v>0</v>
      </c>
      <c r="F646" s="14" t="n">
        <f aca="false">IFERROR((F645-F644)/F644,0)</f>
        <v>0</v>
      </c>
      <c r="G646" s="14" t="n">
        <f aca="false">IFERROR((G645-G644)/G644,0)</f>
        <v>-0.4</v>
      </c>
      <c r="H646" s="14" t="n">
        <f aca="false">IFERROR((H645-H644)/H644,0)</f>
        <v>2.3</v>
      </c>
      <c r="I646" s="14" t="n">
        <f aca="false">IFERROR((I645-I644)/I644,0)</f>
        <v>2.25</v>
      </c>
      <c r="J646" s="14" t="n">
        <f aca="false">IFERROR((J645-J644)/J644,0)</f>
        <v>6.3</v>
      </c>
      <c r="K646" s="15" t="n">
        <f aca="false">IFERROR((SUM(D645:J645)-SUM(D644:J644))/SUM(D644:J644),0)</f>
        <v>2.46666666666667</v>
      </c>
    </row>
    <row r="647" customFormat="false" ht="15" hidden="false" customHeight="true" outlineLevel="0" collapsed="false">
      <c r="A647" s="42" t="s">
        <v>536</v>
      </c>
      <c r="B647" s="43" t="s">
        <v>537</v>
      </c>
      <c r="C647" s="5" t="s">
        <v>26</v>
      </c>
      <c r="D647" s="6" t="n">
        <v>0</v>
      </c>
      <c r="E647" s="6" t="n">
        <v>1</v>
      </c>
      <c r="F647" s="6" t="n">
        <v>0</v>
      </c>
      <c r="G647" s="6" t="n">
        <v>3</v>
      </c>
      <c r="H647" s="6" t="n">
        <v>1</v>
      </c>
      <c r="I647" s="6" t="n">
        <v>1</v>
      </c>
      <c r="J647" s="6" t="n">
        <v>0</v>
      </c>
      <c r="K647" s="7" t="n">
        <f aca="false">SUM(D647:J647)</f>
        <v>6</v>
      </c>
    </row>
    <row r="648" customFormat="false" ht="15" hidden="false" customHeight="false" outlineLevel="0" collapsed="false">
      <c r="A648" s="42"/>
      <c r="B648" s="42"/>
      <c r="C648" s="44" t="s">
        <v>14</v>
      </c>
      <c r="D648" s="9" t="n">
        <v>0.1</v>
      </c>
      <c r="E648" s="9" t="n">
        <v>0.2</v>
      </c>
      <c r="F648" s="9" t="n">
        <v>0.1</v>
      </c>
      <c r="G648" s="9" t="n">
        <v>1.1</v>
      </c>
      <c r="H648" s="9" t="n">
        <v>1.6</v>
      </c>
      <c r="I648" s="9" t="n">
        <v>1.9</v>
      </c>
      <c r="J648" s="9" t="n">
        <v>0.1</v>
      </c>
      <c r="K648" s="10" t="n">
        <f aca="false">SUM(D648:J648)</f>
        <v>5.1</v>
      </c>
    </row>
    <row r="649" customFormat="false" ht="15" hidden="false" customHeight="false" outlineLevel="0" collapsed="false">
      <c r="A649" s="42"/>
      <c r="B649" s="42"/>
      <c r="C649" s="11" t="s">
        <v>41</v>
      </c>
      <c r="D649" s="14" t="n">
        <f aca="false">IFERROR((D648-D647)/D647,0)</f>
        <v>0</v>
      </c>
      <c r="E649" s="14" t="n">
        <f aca="false">IFERROR((E648-E647)/E647,0)</f>
        <v>-0.8</v>
      </c>
      <c r="F649" s="14" t="n">
        <f aca="false">IFERROR((F648-F647)/F647,0)</f>
        <v>0</v>
      </c>
      <c r="G649" s="14" t="n">
        <f aca="false">IFERROR((G648-G647)/G647,0)</f>
        <v>-0.633333333333333</v>
      </c>
      <c r="H649" s="14" t="n">
        <f aca="false">IFERROR((H648-H647)/H647,0)</f>
        <v>0.6</v>
      </c>
      <c r="I649" s="14" t="n">
        <f aca="false">IFERROR((I648-I647)/I647,0)</f>
        <v>0.9</v>
      </c>
      <c r="J649" s="14" t="n">
        <f aca="false">IFERROR((J648-J647)/J647,0)</f>
        <v>0</v>
      </c>
      <c r="K649" s="15" t="n">
        <f aca="false">IFERROR((SUM(D648:J648)-SUM(D647:J647))/SUM(D647:J647),0)</f>
        <v>-0.15</v>
      </c>
    </row>
    <row r="650" customFormat="false" ht="15" hidden="false" customHeight="true" outlineLevel="0" collapsed="false">
      <c r="A650" s="42" t="s">
        <v>538</v>
      </c>
      <c r="B650" s="43" t="s">
        <v>539</v>
      </c>
      <c r="C650" s="5" t="s">
        <v>26</v>
      </c>
      <c r="D650" s="6" t="n">
        <v>0</v>
      </c>
      <c r="E650" s="6" t="n">
        <v>1</v>
      </c>
      <c r="F650" s="6" t="n">
        <v>0</v>
      </c>
      <c r="G650" s="6" t="n">
        <v>1</v>
      </c>
      <c r="H650" s="6" t="n">
        <v>3</v>
      </c>
      <c r="I650" s="6" t="n">
        <v>1</v>
      </c>
      <c r="J650" s="6" t="n">
        <v>0</v>
      </c>
      <c r="K650" s="7" t="n">
        <f aca="false">SUM(D650:J650)</f>
        <v>6</v>
      </c>
    </row>
    <row r="651" customFormat="false" ht="15" hidden="false" customHeight="false" outlineLevel="0" collapsed="false">
      <c r="A651" s="42"/>
      <c r="B651" s="42"/>
      <c r="C651" s="44" t="s">
        <v>14</v>
      </c>
      <c r="D651" s="9" t="n">
        <v>0</v>
      </c>
      <c r="E651" s="9" t="n">
        <v>1.5</v>
      </c>
      <c r="F651" s="9" t="n">
        <v>0.1</v>
      </c>
      <c r="G651" s="9" t="n">
        <v>1.4</v>
      </c>
      <c r="H651" s="9" t="n">
        <v>1.6</v>
      </c>
      <c r="I651" s="9" t="n">
        <v>2.7</v>
      </c>
      <c r="J651" s="9" t="n">
        <v>0</v>
      </c>
      <c r="K651" s="10" t="n">
        <f aca="false">SUM(D651:J651)</f>
        <v>7.3</v>
      </c>
    </row>
    <row r="652" customFormat="false" ht="15" hidden="false" customHeight="false" outlineLevel="0" collapsed="false">
      <c r="A652" s="42"/>
      <c r="B652" s="42"/>
      <c r="C652" s="11" t="s">
        <v>41</v>
      </c>
      <c r="D652" s="14" t="n">
        <f aca="false">IFERROR((D651-D650)/D650,0)</f>
        <v>0</v>
      </c>
      <c r="E652" s="14" t="n">
        <f aca="false">IFERROR((E651-E650)/E650,0)</f>
        <v>0.5</v>
      </c>
      <c r="F652" s="14" t="n">
        <f aca="false">IFERROR((F651-F650)/F650,0)</f>
        <v>0</v>
      </c>
      <c r="G652" s="14" t="n">
        <f aca="false">IFERROR((G651-G650)/G650,0)</f>
        <v>0.4</v>
      </c>
      <c r="H652" s="14" t="n">
        <f aca="false">IFERROR((H651-H650)/H650,0)</f>
        <v>-0.466666666666667</v>
      </c>
      <c r="I652" s="14" t="n">
        <f aca="false">IFERROR((I651-I650)/I650,0)</f>
        <v>1.7</v>
      </c>
      <c r="J652" s="14" t="n">
        <f aca="false">IFERROR((J651-J650)/J650,0)</f>
        <v>0</v>
      </c>
      <c r="K652" s="15" t="n">
        <f aca="false">IFERROR((SUM(D651:J651)-SUM(D650:J650))/SUM(D650:J650),0)</f>
        <v>0.216666666666667</v>
      </c>
    </row>
    <row r="653" customFormat="false" ht="15" hidden="false" customHeight="true" outlineLevel="0" collapsed="false">
      <c r="A653" s="42" t="s">
        <v>540</v>
      </c>
      <c r="B653" s="43" t="s">
        <v>541</v>
      </c>
      <c r="C653" s="5" t="s">
        <v>26</v>
      </c>
      <c r="D653" s="6" t="n">
        <v>0</v>
      </c>
      <c r="E653" s="6" t="n">
        <v>2</v>
      </c>
      <c r="F653" s="6" t="n">
        <v>3</v>
      </c>
      <c r="G653" s="6" t="n">
        <v>1</v>
      </c>
      <c r="H653" s="6" t="n">
        <v>0</v>
      </c>
      <c r="I653" s="6" t="n">
        <v>0</v>
      </c>
      <c r="J653" s="6" t="n">
        <v>0</v>
      </c>
      <c r="K653" s="7" t="n">
        <f aca="false">SUM(D653:J653)</f>
        <v>6</v>
      </c>
    </row>
    <row r="654" customFormat="false" ht="15" hidden="false" customHeight="false" outlineLevel="0" collapsed="false">
      <c r="A654" s="42"/>
      <c r="B654" s="42"/>
      <c r="C654" s="44" t="s">
        <v>14</v>
      </c>
      <c r="D654" s="9" t="n">
        <v>0.3</v>
      </c>
      <c r="E654" s="9" t="n">
        <v>0.4</v>
      </c>
      <c r="F654" s="9" t="n">
        <v>1</v>
      </c>
      <c r="G654" s="9" t="n">
        <v>1.7</v>
      </c>
      <c r="H654" s="9" t="n">
        <v>0.3</v>
      </c>
      <c r="I654" s="9" t="n">
        <v>0.7</v>
      </c>
      <c r="J654" s="9" t="n">
        <v>1.6</v>
      </c>
      <c r="K654" s="10" t="n">
        <f aca="false">SUM(D654:J654)</f>
        <v>6</v>
      </c>
    </row>
    <row r="655" customFormat="false" ht="15" hidden="false" customHeight="false" outlineLevel="0" collapsed="false">
      <c r="A655" s="42"/>
      <c r="B655" s="42"/>
      <c r="C655" s="11" t="s">
        <v>41</v>
      </c>
      <c r="D655" s="14" t="n">
        <f aca="false">IFERROR((D654-D653)/D653,0)</f>
        <v>0</v>
      </c>
      <c r="E655" s="14" t="n">
        <f aca="false">IFERROR((E654-E653)/E653,0)</f>
        <v>-0.8</v>
      </c>
      <c r="F655" s="14" t="n">
        <f aca="false">IFERROR((F654-F653)/F653,0)</f>
        <v>-0.666666666666667</v>
      </c>
      <c r="G655" s="14" t="n">
        <f aca="false">IFERROR((G654-G653)/G653,0)</f>
        <v>0.7</v>
      </c>
      <c r="H655" s="14" t="n">
        <f aca="false">IFERROR((H654-H653)/H653,0)</f>
        <v>0</v>
      </c>
      <c r="I655" s="14" t="n">
        <f aca="false">IFERROR((I654-I653)/I653,0)</f>
        <v>0</v>
      </c>
      <c r="J655" s="14" t="n">
        <f aca="false">IFERROR((J654-J653)/J653,0)</f>
        <v>0</v>
      </c>
      <c r="K655" s="15" t="n">
        <f aca="false">IFERROR((SUM(D654:J654)-SUM(D653:J653))/SUM(D653:J653),0)</f>
        <v>0</v>
      </c>
    </row>
    <row r="656" customFormat="false" ht="15" hidden="false" customHeight="true" outlineLevel="0" collapsed="false">
      <c r="A656" s="42" t="s">
        <v>542</v>
      </c>
      <c r="B656" s="43" t="s">
        <v>543</v>
      </c>
      <c r="C656" s="5" t="s">
        <v>26</v>
      </c>
      <c r="D656" s="6" t="n">
        <v>2</v>
      </c>
      <c r="E656" s="6" t="n">
        <v>0</v>
      </c>
      <c r="F656" s="6" t="n">
        <v>0</v>
      </c>
      <c r="G656" s="6" t="n">
        <v>2</v>
      </c>
      <c r="H656" s="6" t="n">
        <v>0</v>
      </c>
      <c r="I656" s="6" t="n">
        <v>1</v>
      </c>
      <c r="J656" s="6" t="n">
        <v>0</v>
      </c>
      <c r="K656" s="7" t="n">
        <f aca="false">SUM(D656:J656)</f>
        <v>5</v>
      </c>
    </row>
    <row r="657" customFormat="false" ht="15" hidden="false" customHeight="false" outlineLevel="0" collapsed="false">
      <c r="A657" s="42"/>
      <c r="B657" s="42"/>
      <c r="C657" s="44" t="s">
        <v>14</v>
      </c>
      <c r="D657" s="9" t="n">
        <v>1.2</v>
      </c>
      <c r="E657" s="9" t="n">
        <v>0.1</v>
      </c>
      <c r="F657" s="9" t="n">
        <v>0.1</v>
      </c>
      <c r="G657" s="9" t="n">
        <v>1.3</v>
      </c>
      <c r="H657" s="9" t="n">
        <v>0.1</v>
      </c>
      <c r="I657" s="9" t="n">
        <v>1.6</v>
      </c>
      <c r="J657" s="9" t="n">
        <v>0.1</v>
      </c>
      <c r="K657" s="10" t="n">
        <f aca="false">SUM(D657:J657)</f>
        <v>4.5</v>
      </c>
    </row>
    <row r="658" customFormat="false" ht="15" hidden="false" customHeight="false" outlineLevel="0" collapsed="false">
      <c r="A658" s="42"/>
      <c r="B658" s="42"/>
      <c r="C658" s="11" t="s">
        <v>41</v>
      </c>
      <c r="D658" s="14" t="n">
        <f aca="false">IFERROR((D657-D656)/D656,0)</f>
        <v>-0.4</v>
      </c>
      <c r="E658" s="14" t="n">
        <f aca="false">IFERROR((E657-E656)/E656,0)</f>
        <v>0</v>
      </c>
      <c r="F658" s="14" t="n">
        <f aca="false">IFERROR((F657-F656)/F656,0)</f>
        <v>0</v>
      </c>
      <c r="G658" s="14" t="n">
        <f aca="false">IFERROR((G657-G656)/G656,0)</f>
        <v>-0.35</v>
      </c>
      <c r="H658" s="14" t="n">
        <f aca="false">IFERROR((H657-H656)/H656,0)</f>
        <v>0</v>
      </c>
      <c r="I658" s="14" t="n">
        <f aca="false">IFERROR((I657-I656)/I656,0)</f>
        <v>0.6</v>
      </c>
      <c r="J658" s="14" t="n">
        <f aca="false">IFERROR((J657-J656)/J656,0)</f>
        <v>0</v>
      </c>
      <c r="K658" s="15" t="n">
        <f aca="false">IFERROR((SUM(D657:J657)-SUM(D656:J656))/SUM(D656:J656),0)</f>
        <v>-0.1</v>
      </c>
    </row>
    <row r="659" customFormat="false" ht="15" hidden="false" customHeight="true" outlineLevel="0" collapsed="false">
      <c r="A659" s="42" t="s">
        <v>544</v>
      </c>
      <c r="B659" s="43" t="s">
        <v>545</v>
      </c>
      <c r="C659" s="5" t="s">
        <v>26</v>
      </c>
      <c r="D659" s="6" t="n">
        <v>1</v>
      </c>
      <c r="E659" s="6" t="n">
        <v>1</v>
      </c>
      <c r="F659" s="6" t="n">
        <v>1</v>
      </c>
      <c r="G659" s="6" t="n">
        <v>0</v>
      </c>
      <c r="H659" s="6" t="n">
        <v>2</v>
      </c>
      <c r="I659" s="6" t="n">
        <v>0</v>
      </c>
      <c r="J659" s="6" t="n">
        <v>0</v>
      </c>
      <c r="K659" s="7" t="n">
        <f aca="false">SUM(D659:J659)</f>
        <v>5</v>
      </c>
    </row>
    <row r="660" customFormat="false" ht="15" hidden="false" customHeight="false" outlineLevel="0" collapsed="false">
      <c r="A660" s="42"/>
      <c r="B660" s="42"/>
      <c r="C660" s="44" t="s">
        <v>14</v>
      </c>
      <c r="D660" s="9" t="n">
        <v>1.2</v>
      </c>
      <c r="E660" s="9" t="n">
        <v>1.4</v>
      </c>
      <c r="F660" s="9" t="n">
        <v>1.4</v>
      </c>
      <c r="G660" s="9" t="n">
        <v>0.1</v>
      </c>
      <c r="H660" s="9" t="n">
        <v>1.4</v>
      </c>
      <c r="I660" s="9" t="n">
        <v>0.1</v>
      </c>
      <c r="J660" s="9" t="n">
        <v>0</v>
      </c>
      <c r="K660" s="10" t="n">
        <f aca="false">SUM(D660:J660)</f>
        <v>5.6</v>
      </c>
    </row>
    <row r="661" customFormat="false" ht="15" hidden="false" customHeight="false" outlineLevel="0" collapsed="false">
      <c r="A661" s="42"/>
      <c r="B661" s="42"/>
      <c r="C661" s="11" t="s">
        <v>41</v>
      </c>
      <c r="D661" s="14" t="n">
        <f aca="false">IFERROR((D660-D659)/D659,0)</f>
        <v>0.2</v>
      </c>
      <c r="E661" s="14" t="n">
        <f aca="false">IFERROR((E660-E659)/E659,0)</f>
        <v>0.4</v>
      </c>
      <c r="F661" s="14" t="n">
        <f aca="false">IFERROR((F660-F659)/F659,0)</f>
        <v>0.4</v>
      </c>
      <c r="G661" s="14" t="n">
        <f aca="false">IFERROR((G660-G659)/G659,0)</f>
        <v>0</v>
      </c>
      <c r="H661" s="14" t="n">
        <f aca="false">IFERROR((H660-H659)/H659,0)</f>
        <v>-0.3</v>
      </c>
      <c r="I661" s="14" t="n">
        <f aca="false">IFERROR((I660-I659)/I659,0)</f>
        <v>0</v>
      </c>
      <c r="J661" s="14" t="n">
        <f aca="false">IFERROR((J660-J659)/J659,0)</f>
        <v>0</v>
      </c>
      <c r="K661" s="15" t="n">
        <f aca="false">IFERROR((SUM(D660:J660)-SUM(D659:J659))/SUM(D659:J659),0)</f>
        <v>0.12</v>
      </c>
    </row>
    <row r="662" customFormat="false" ht="15" hidden="false" customHeight="true" outlineLevel="0" collapsed="false">
      <c r="A662" s="42" t="s">
        <v>546</v>
      </c>
      <c r="B662" s="43" t="s">
        <v>547</v>
      </c>
      <c r="C662" s="5" t="s">
        <v>26</v>
      </c>
      <c r="D662" s="6" t="n">
        <v>1</v>
      </c>
      <c r="E662" s="6" t="n">
        <v>0</v>
      </c>
      <c r="F662" s="6" t="n">
        <v>1</v>
      </c>
      <c r="G662" s="6" t="n">
        <v>0</v>
      </c>
      <c r="H662" s="6" t="n">
        <v>2</v>
      </c>
      <c r="I662" s="6" t="n">
        <v>0</v>
      </c>
      <c r="J662" s="6" t="n">
        <v>1</v>
      </c>
      <c r="K662" s="7" t="n">
        <f aca="false">SUM(D662:J662)</f>
        <v>5</v>
      </c>
    </row>
    <row r="663" customFormat="false" ht="15" hidden="false" customHeight="false" outlineLevel="0" collapsed="false">
      <c r="A663" s="42"/>
      <c r="B663" s="42"/>
      <c r="C663" s="44" t="s">
        <v>14</v>
      </c>
      <c r="D663" s="9" t="n">
        <v>0.9</v>
      </c>
      <c r="E663" s="9" t="n">
        <v>0</v>
      </c>
      <c r="F663" s="9" t="n">
        <v>0.9</v>
      </c>
      <c r="G663" s="9" t="n">
        <v>0</v>
      </c>
      <c r="H663" s="9" t="n">
        <v>0.9</v>
      </c>
      <c r="I663" s="9" t="n">
        <v>0</v>
      </c>
      <c r="J663" s="9" t="n">
        <v>1.1</v>
      </c>
      <c r="K663" s="10" t="n">
        <f aca="false">SUM(D663:J663)</f>
        <v>3.8</v>
      </c>
    </row>
    <row r="664" customFormat="false" ht="15" hidden="false" customHeight="false" outlineLevel="0" collapsed="false">
      <c r="A664" s="42"/>
      <c r="B664" s="42"/>
      <c r="C664" s="11" t="s">
        <v>41</v>
      </c>
      <c r="D664" s="14" t="n">
        <f aca="false">IFERROR((D663-D662)/D662,0)</f>
        <v>-0.1</v>
      </c>
      <c r="E664" s="14" t="n">
        <f aca="false">IFERROR((E663-E662)/E662,0)</f>
        <v>0</v>
      </c>
      <c r="F664" s="14" t="n">
        <f aca="false">IFERROR((F663-F662)/F662,0)</f>
        <v>-0.1</v>
      </c>
      <c r="G664" s="14" t="n">
        <f aca="false">IFERROR((G663-G662)/G662,0)</f>
        <v>0</v>
      </c>
      <c r="H664" s="14" t="n">
        <f aca="false">IFERROR((H663-H662)/H662,0)</f>
        <v>-0.55</v>
      </c>
      <c r="I664" s="14" t="n">
        <f aca="false">IFERROR((I663-I662)/I662,0)</f>
        <v>0</v>
      </c>
      <c r="J664" s="14" t="n">
        <f aca="false">IFERROR((J663-J662)/J662,0)</f>
        <v>0.1</v>
      </c>
      <c r="K664" s="15" t="n">
        <f aca="false">IFERROR((SUM(D663:J663)-SUM(D662:J662))/SUM(D662:J662),0)</f>
        <v>-0.24</v>
      </c>
    </row>
    <row r="665" customFormat="false" ht="15" hidden="false" customHeight="true" outlineLevel="0" collapsed="false">
      <c r="A665" s="42" t="s">
        <v>548</v>
      </c>
      <c r="B665" s="43" t="s">
        <v>549</v>
      </c>
      <c r="C665" s="5" t="s">
        <v>26</v>
      </c>
      <c r="D665" s="6" t="n">
        <v>1</v>
      </c>
      <c r="E665" s="6" t="n">
        <v>1</v>
      </c>
      <c r="F665" s="6" t="n">
        <v>1</v>
      </c>
      <c r="G665" s="6" t="n">
        <v>0</v>
      </c>
      <c r="H665" s="6" t="n">
        <v>2</v>
      </c>
      <c r="I665" s="6" t="n">
        <v>0</v>
      </c>
      <c r="J665" s="6" t="n">
        <v>0</v>
      </c>
      <c r="K665" s="7" t="n">
        <f aca="false">SUM(D665:J665)</f>
        <v>5</v>
      </c>
    </row>
    <row r="666" customFormat="false" ht="15" hidden="false" customHeight="false" outlineLevel="0" collapsed="false">
      <c r="A666" s="42"/>
      <c r="B666" s="42"/>
      <c r="C666" s="44" t="s">
        <v>14</v>
      </c>
      <c r="D666" s="9" t="n">
        <v>0.1</v>
      </c>
      <c r="E666" s="9" t="n">
        <v>0.9</v>
      </c>
      <c r="F666" s="9" t="n">
        <v>0.1</v>
      </c>
      <c r="G666" s="9" t="n">
        <v>0.1</v>
      </c>
      <c r="H666" s="9" t="n">
        <v>1</v>
      </c>
      <c r="I666" s="9" t="n">
        <v>0.5</v>
      </c>
      <c r="J666" s="9" t="n">
        <v>1</v>
      </c>
      <c r="K666" s="10" t="n">
        <f aca="false">SUM(D666:J666)</f>
        <v>3.7</v>
      </c>
    </row>
    <row r="667" customFormat="false" ht="15" hidden="false" customHeight="false" outlineLevel="0" collapsed="false">
      <c r="A667" s="42"/>
      <c r="B667" s="42"/>
      <c r="C667" s="11" t="s">
        <v>41</v>
      </c>
      <c r="D667" s="14" t="n">
        <f aca="false">IFERROR((D666-D665)/D665,0)</f>
        <v>-0.9</v>
      </c>
      <c r="E667" s="14" t="n">
        <f aca="false">IFERROR((E666-E665)/E665,0)</f>
        <v>-0.1</v>
      </c>
      <c r="F667" s="14" t="n">
        <f aca="false">IFERROR((F666-F665)/F665,0)</f>
        <v>-0.9</v>
      </c>
      <c r="G667" s="14" t="n">
        <f aca="false">IFERROR((G666-G665)/G665,0)</f>
        <v>0</v>
      </c>
      <c r="H667" s="14" t="n">
        <f aca="false">IFERROR((H666-H665)/H665,0)</f>
        <v>-0.5</v>
      </c>
      <c r="I667" s="14" t="n">
        <f aca="false">IFERROR((I666-I665)/I665,0)</f>
        <v>0</v>
      </c>
      <c r="J667" s="14" t="n">
        <f aca="false">IFERROR((J666-J665)/J665,0)</f>
        <v>0</v>
      </c>
      <c r="K667" s="15" t="n">
        <f aca="false">IFERROR((SUM(D666:J666)-SUM(D665:J665))/SUM(D665:J665),0)</f>
        <v>-0.26</v>
      </c>
    </row>
    <row r="668" customFormat="false" ht="15" hidden="false" customHeight="true" outlineLevel="0" collapsed="false">
      <c r="A668" s="42" t="s">
        <v>550</v>
      </c>
      <c r="B668" s="43" t="s">
        <v>551</v>
      </c>
      <c r="C668" s="5" t="s">
        <v>26</v>
      </c>
      <c r="D668" s="6" t="n">
        <v>1</v>
      </c>
      <c r="E668" s="6" t="n">
        <v>0</v>
      </c>
      <c r="F668" s="6" t="n">
        <v>0</v>
      </c>
      <c r="G668" s="6" t="n">
        <v>0</v>
      </c>
      <c r="H668" s="6" t="n">
        <v>2</v>
      </c>
      <c r="I668" s="6" t="n">
        <v>2</v>
      </c>
      <c r="J668" s="6" t="n">
        <v>0</v>
      </c>
      <c r="K668" s="7" t="n">
        <f aca="false">SUM(D668:J668)</f>
        <v>5</v>
      </c>
    </row>
    <row r="669" customFormat="false" ht="15" hidden="false" customHeight="false" outlineLevel="0" collapsed="false">
      <c r="A669" s="42"/>
      <c r="B669" s="42"/>
      <c r="C669" s="44" t="s">
        <v>14</v>
      </c>
      <c r="D669" s="9" t="n">
        <v>1.2</v>
      </c>
      <c r="E669" s="9" t="n">
        <v>0</v>
      </c>
      <c r="F669" s="9" t="n">
        <v>0</v>
      </c>
      <c r="G669" s="9" t="n">
        <v>0</v>
      </c>
      <c r="H669" s="9" t="n">
        <v>1</v>
      </c>
      <c r="I669" s="9" t="n">
        <v>2.3</v>
      </c>
      <c r="J669" s="9" t="n">
        <v>0.2</v>
      </c>
      <c r="K669" s="10" t="n">
        <f aca="false">SUM(D669:J669)</f>
        <v>4.7</v>
      </c>
    </row>
    <row r="670" customFormat="false" ht="15" hidden="false" customHeight="false" outlineLevel="0" collapsed="false">
      <c r="A670" s="42"/>
      <c r="B670" s="42"/>
      <c r="C670" s="11" t="s">
        <v>41</v>
      </c>
      <c r="D670" s="14" t="n">
        <f aca="false">IFERROR((D669-D668)/D668,0)</f>
        <v>0.2</v>
      </c>
      <c r="E670" s="14" t="n">
        <f aca="false">IFERROR((E669-E668)/E668,0)</f>
        <v>0</v>
      </c>
      <c r="F670" s="14" t="n">
        <f aca="false">IFERROR((F669-F668)/F668,0)</f>
        <v>0</v>
      </c>
      <c r="G670" s="14" t="n">
        <f aca="false">IFERROR((G669-G668)/G668,0)</f>
        <v>0</v>
      </c>
      <c r="H670" s="14" t="n">
        <f aca="false">IFERROR((H669-H668)/H668,0)</f>
        <v>-0.5</v>
      </c>
      <c r="I670" s="14" t="n">
        <f aca="false">IFERROR((I669-I668)/I668,0)</f>
        <v>0.15</v>
      </c>
      <c r="J670" s="14" t="n">
        <f aca="false">IFERROR((J669-J668)/J668,0)</f>
        <v>0</v>
      </c>
      <c r="K670" s="15" t="n">
        <f aca="false">IFERROR((SUM(D669:J669)-SUM(D668:J668))/SUM(D668:J668),0)</f>
        <v>-0.06</v>
      </c>
    </row>
    <row r="671" customFormat="false" ht="15" hidden="false" customHeight="true" outlineLevel="0" collapsed="false">
      <c r="A671" s="42" t="s">
        <v>552</v>
      </c>
      <c r="B671" s="43" t="s">
        <v>553</v>
      </c>
      <c r="C671" s="5" t="s">
        <v>26</v>
      </c>
      <c r="D671" s="6" t="n">
        <v>0</v>
      </c>
      <c r="E671" s="6" t="n">
        <v>1</v>
      </c>
      <c r="F671" s="6" t="n">
        <v>1</v>
      </c>
      <c r="G671" s="6" t="n">
        <v>2</v>
      </c>
      <c r="H671" s="6" t="n">
        <v>0</v>
      </c>
      <c r="I671" s="6" t="n">
        <v>1</v>
      </c>
      <c r="J671" s="6" t="n">
        <v>0</v>
      </c>
      <c r="K671" s="7" t="n">
        <f aca="false">SUM(D671:J671)</f>
        <v>5</v>
      </c>
    </row>
    <row r="672" customFormat="false" ht="15" hidden="false" customHeight="false" outlineLevel="0" collapsed="false">
      <c r="A672" s="42"/>
      <c r="B672" s="42"/>
      <c r="C672" s="44" t="s">
        <v>14</v>
      </c>
      <c r="D672" s="9" t="n">
        <v>0.1</v>
      </c>
      <c r="E672" s="9" t="n">
        <v>0.3</v>
      </c>
      <c r="F672" s="9" t="n">
        <v>1</v>
      </c>
      <c r="G672" s="9" t="n">
        <v>1.7</v>
      </c>
      <c r="H672" s="9" t="n">
        <v>0.1</v>
      </c>
      <c r="I672" s="9" t="n">
        <v>1.9</v>
      </c>
      <c r="J672" s="9" t="n">
        <v>0.4</v>
      </c>
      <c r="K672" s="10" t="n">
        <f aca="false">SUM(D672:J672)</f>
        <v>5.5</v>
      </c>
    </row>
    <row r="673" customFormat="false" ht="15" hidden="false" customHeight="false" outlineLevel="0" collapsed="false">
      <c r="A673" s="42"/>
      <c r="B673" s="42"/>
      <c r="C673" s="11" t="s">
        <v>41</v>
      </c>
      <c r="D673" s="14" t="n">
        <f aca="false">IFERROR((D672-D671)/D671,0)</f>
        <v>0</v>
      </c>
      <c r="E673" s="14" t="n">
        <f aca="false">IFERROR((E672-E671)/E671,0)</f>
        <v>-0.7</v>
      </c>
      <c r="F673" s="14" t="n">
        <f aca="false">IFERROR((F672-F671)/F671,0)</f>
        <v>0</v>
      </c>
      <c r="G673" s="14" t="n">
        <f aca="false">IFERROR((G672-G671)/G671,0)</f>
        <v>-0.15</v>
      </c>
      <c r="H673" s="14" t="n">
        <f aca="false">IFERROR((H672-H671)/H671,0)</f>
        <v>0</v>
      </c>
      <c r="I673" s="14" t="n">
        <f aca="false">IFERROR((I672-I671)/I671,0)</f>
        <v>0.9</v>
      </c>
      <c r="J673" s="14" t="n">
        <f aca="false">IFERROR((J672-J671)/J671,0)</f>
        <v>0</v>
      </c>
      <c r="K673" s="15" t="n">
        <f aca="false">IFERROR((SUM(D672:J672)-SUM(D671:J671))/SUM(D671:J671),0)</f>
        <v>0.1</v>
      </c>
    </row>
    <row r="674" customFormat="false" ht="15" hidden="false" customHeight="true" outlineLevel="0" collapsed="false">
      <c r="A674" s="42" t="s">
        <v>554</v>
      </c>
      <c r="B674" s="43" t="s">
        <v>555</v>
      </c>
      <c r="C674" s="5" t="s">
        <v>26</v>
      </c>
      <c r="D674" s="6" t="n">
        <v>1</v>
      </c>
      <c r="E674" s="6" t="n">
        <v>0</v>
      </c>
      <c r="F674" s="6" t="n">
        <v>1</v>
      </c>
      <c r="G674" s="6" t="n">
        <v>3</v>
      </c>
      <c r="H674" s="6" t="n">
        <v>0</v>
      </c>
      <c r="I674" s="6" t="n">
        <v>0</v>
      </c>
      <c r="J674" s="6" t="n">
        <v>0</v>
      </c>
      <c r="K674" s="7" t="n">
        <f aca="false">SUM(D674:J674)</f>
        <v>5</v>
      </c>
    </row>
    <row r="675" customFormat="false" ht="15" hidden="false" customHeight="false" outlineLevel="0" collapsed="false">
      <c r="A675" s="42"/>
      <c r="B675" s="42"/>
      <c r="C675" s="44" t="s">
        <v>14</v>
      </c>
      <c r="D675" s="9" t="n">
        <v>1.3</v>
      </c>
      <c r="E675" s="9" t="n">
        <v>0.1</v>
      </c>
      <c r="F675" s="9" t="n">
        <v>1.2</v>
      </c>
      <c r="G675" s="9" t="n">
        <v>1.2</v>
      </c>
      <c r="H675" s="9" t="n">
        <v>0.1</v>
      </c>
      <c r="I675" s="9" t="n">
        <v>0.2</v>
      </c>
      <c r="J675" s="9" t="n">
        <v>0.1</v>
      </c>
      <c r="K675" s="10" t="n">
        <f aca="false">SUM(D675:J675)</f>
        <v>4.2</v>
      </c>
    </row>
    <row r="676" customFormat="false" ht="15" hidden="false" customHeight="false" outlineLevel="0" collapsed="false">
      <c r="A676" s="42"/>
      <c r="B676" s="42"/>
      <c r="C676" s="11" t="s">
        <v>41</v>
      </c>
      <c r="D676" s="14" t="n">
        <f aca="false">IFERROR((D675-D674)/D674,0)</f>
        <v>0.3</v>
      </c>
      <c r="E676" s="14" t="n">
        <f aca="false">IFERROR((E675-E674)/E674,0)</f>
        <v>0</v>
      </c>
      <c r="F676" s="14" t="n">
        <f aca="false">IFERROR((F675-F674)/F674,0)</f>
        <v>0.2</v>
      </c>
      <c r="G676" s="14" t="n">
        <f aca="false">IFERROR((G675-G674)/G674,0)</f>
        <v>-0.6</v>
      </c>
      <c r="H676" s="14" t="n">
        <f aca="false">IFERROR((H675-H674)/H674,0)</f>
        <v>0</v>
      </c>
      <c r="I676" s="14" t="n">
        <f aca="false">IFERROR((I675-I674)/I674,0)</f>
        <v>0</v>
      </c>
      <c r="J676" s="14" t="n">
        <f aca="false">IFERROR((J675-J674)/J674,0)</f>
        <v>0</v>
      </c>
      <c r="K676" s="15" t="n">
        <f aca="false">IFERROR((SUM(D675:J675)-SUM(D674:J674))/SUM(D674:J674),0)</f>
        <v>-0.16</v>
      </c>
    </row>
    <row r="677" customFormat="false" ht="15" hidden="false" customHeight="true" outlineLevel="0" collapsed="false">
      <c r="A677" s="42" t="s">
        <v>556</v>
      </c>
      <c r="B677" s="43" t="s">
        <v>557</v>
      </c>
      <c r="C677" s="5" t="s">
        <v>26</v>
      </c>
      <c r="D677" s="6" t="n">
        <v>1</v>
      </c>
      <c r="E677" s="6" t="n">
        <v>1</v>
      </c>
      <c r="F677" s="6" t="n">
        <v>0</v>
      </c>
      <c r="G677" s="6" t="n">
        <v>0</v>
      </c>
      <c r="H677" s="6" t="n">
        <v>0</v>
      </c>
      <c r="I677" s="6" t="n">
        <v>2</v>
      </c>
      <c r="J677" s="6" t="n">
        <v>0</v>
      </c>
      <c r="K677" s="7" t="n">
        <f aca="false">SUM(D677:J677)</f>
        <v>4</v>
      </c>
    </row>
    <row r="678" customFormat="false" ht="15" hidden="false" customHeight="false" outlineLevel="0" collapsed="false">
      <c r="A678" s="42"/>
      <c r="B678" s="42"/>
      <c r="C678" s="44" t="s">
        <v>14</v>
      </c>
      <c r="D678" s="9" t="n">
        <v>0.4</v>
      </c>
      <c r="E678" s="9" t="n">
        <v>1</v>
      </c>
      <c r="F678" s="9" t="n">
        <v>0.5</v>
      </c>
      <c r="G678" s="9" t="n">
        <v>0.3</v>
      </c>
      <c r="H678" s="9" t="n">
        <v>0.5</v>
      </c>
      <c r="I678" s="9" t="n">
        <v>2.3</v>
      </c>
      <c r="J678" s="9" t="n">
        <v>0.2</v>
      </c>
      <c r="K678" s="10" t="n">
        <f aca="false">SUM(D678:J678)</f>
        <v>5.2</v>
      </c>
    </row>
    <row r="679" customFormat="false" ht="15" hidden="false" customHeight="false" outlineLevel="0" collapsed="false">
      <c r="A679" s="42"/>
      <c r="B679" s="42"/>
      <c r="C679" s="11" t="s">
        <v>41</v>
      </c>
      <c r="D679" s="14" t="n">
        <f aca="false">IFERROR((D678-D677)/D677,0)</f>
        <v>-0.6</v>
      </c>
      <c r="E679" s="14" t="n">
        <f aca="false">IFERROR((E678-E677)/E677,0)</f>
        <v>0</v>
      </c>
      <c r="F679" s="14" t="n">
        <f aca="false">IFERROR((F678-F677)/F677,0)</f>
        <v>0</v>
      </c>
      <c r="G679" s="14" t="n">
        <f aca="false">IFERROR((G678-G677)/G677,0)</f>
        <v>0</v>
      </c>
      <c r="H679" s="14" t="n">
        <f aca="false">IFERROR((H678-H677)/H677,0)</f>
        <v>0</v>
      </c>
      <c r="I679" s="14" t="n">
        <f aca="false">IFERROR((I678-I677)/I677,0)</f>
        <v>0.15</v>
      </c>
      <c r="J679" s="14" t="n">
        <f aca="false">IFERROR((J678-J677)/J677,0)</f>
        <v>0</v>
      </c>
      <c r="K679" s="15" t="n">
        <f aca="false">IFERROR((SUM(D678:J678)-SUM(D677:J677))/SUM(D677:J677),0)</f>
        <v>0.3</v>
      </c>
    </row>
    <row r="680" customFormat="false" ht="15" hidden="false" customHeight="true" outlineLevel="0" collapsed="false">
      <c r="A680" s="42" t="s">
        <v>558</v>
      </c>
      <c r="B680" s="43" t="s">
        <v>559</v>
      </c>
      <c r="C680" s="5" t="s">
        <v>26</v>
      </c>
      <c r="D680" s="6" t="n">
        <v>0</v>
      </c>
      <c r="E680" s="6" t="n">
        <v>0</v>
      </c>
      <c r="F680" s="6" t="n">
        <v>0</v>
      </c>
      <c r="G680" s="6" t="n">
        <v>1</v>
      </c>
      <c r="H680" s="6" t="n">
        <v>0</v>
      </c>
      <c r="I680" s="6" t="n">
        <v>3</v>
      </c>
      <c r="J680" s="6" t="n">
        <v>0</v>
      </c>
      <c r="K680" s="7" t="n">
        <f aca="false">SUM(D680:J680)</f>
        <v>4</v>
      </c>
    </row>
    <row r="681" customFormat="false" ht="15" hidden="false" customHeight="false" outlineLevel="0" collapsed="false">
      <c r="A681" s="42"/>
      <c r="B681" s="42"/>
      <c r="C681" s="44" t="s">
        <v>14</v>
      </c>
      <c r="D681" s="9" t="n">
        <v>0.1</v>
      </c>
      <c r="E681" s="9" t="n">
        <v>0.1</v>
      </c>
      <c r="F681" s="9" t="n">
        <v>0.2</v>
      </c>
      <c r="G681" s="9" t="n">
        <v>1.3</v>
      </c>
      <c r="H681" s="9" t="n">
        <v>0.2</v>
      </c>
      <c r="I681" s="9" t="n">
        <v>2</v>
      </c>
      <c r="J681" s="9" t="n">
        <v>0.1</v>
      </c>
      <c r="K681" s="10" t="n">
        <f aca="false">SUM(D681:J681)</f>
        <v>4</v>
      </c>
    </row>
    <row r="682" customFormat="false" ht="15" hidden="false" customHeight="false" outlineLevel="0" collapsed="false">
      <c r="A682" s="42"/>
      <c r="B682" s="42"/>
      <c r="C682" s="11" t="s">
        <v>41</v>
      </c>
      <c r="D682" s="14" t="n">
        <f aca="false">IFERROR((D681-D680)/D680,0)</f>
        <v>0</v>
      </c>
      <c r="E682" s="14" t="n">
        <f aca="false">IFERROR((E681-E680)/E680,0)</f>
        <v>0</v>
      </c>
      <c r="F682" s="14" t="n">
        <f aca="false">IFERROR((F681-F680)/F680,0)</f>
        <v>0</v>
      </c>
      <c r="G682" s="14" t="n">
        <f aca="false">IFERROR((G681-G680)/G680,0)</f>
        <v>0.3</v>
      </c>
      <c r="H682" s="14" t="n">
        <f aca="false">IFERROR((H681-H680)/H680,0)</f>
        <v>0</v>
      </c>
      <c r="I682" s="14" t="n">
        <f aca="false">IFERROR((I681-I680)/I680,0)</f>
        <v>-0.333333333333333</v>
      </c>
      <c r="J682" s="14" t="n">
        <f aca="false">IFERROR((J681-J680)/J680,0)</f>
        <v>0</v>
      </c>
      <c r="K682" s="15" t="n">
        <f aca="false">IFERROR((SUM(D681:J681)-SUM(D680:J680))/SUM(D680:J680),0)</f>
        <v>0</v>
      </c>
    </row>
    <row r="683" customFormat="false" ht="15" hidden="false" customHeight="true" outlineLevel="0" collapsed="false">
      <c r="A683" s="42" t="s">
        <v>560</v>
      </c>
      <c r="B683" s="43" t="s">
        <v>561</v>
      </c>
      <c r="C683" s="5" t="s">
        <v>26</v>
      </c>
      <c r="D683" s="6" t="n">
        <v>3</v>
      </c>
      <c r="E683" s="6" t="n">
        <v>0</v>
      </c>
      <c r="F683" s="6" t="n">
        <v>0</v>
      </c>
      <c r="G683" s="6" t="n">
        <v>0</v>
      </c>
      <c r="H683" s="6" t="n">
        <v>0</v>
      </c>
      <c r="I683" s="6" t="n">
        <v>0</v>
      </c>
      <c r="J683" s="6" t="n">
        <v>1</v>
      </c>
      <c r="K683" s="7" t="n">
        <f aca="false">SUM(D683:J683)</f>
        <v>4</v>
      </c>
    </row>
    <row r="684" customFormat="false" ht="15" hidden="false" customHeight="false" outlineLevel="0" collapsed="false">
      <c r="A684" s="42"/>
      <c r="B684" s="42"/>
      <c r="C684" s="44" t="s">
        <v>14</v>
      </c>
      <c r="D684" s="9" t="n">
        <v>0.8</v>
      </c>
      <c r="E684" s="9" t="n">
        <v>0.2</v>
      </c>
      <c r="F684" s="9" t="n">
        <v>0.1</v>
      </c>
      <c r="G684" s="9" t="n">
        <v>0.2</v>
      </c>
      <c r="H684" s="9" t="n">
        <v>0.1</v>
      </c>
      <c r="I684" s="9" t="n">
        <v>0.6</v>
      </c>
      <c r="J684" s="9" t="n">
        <v>1.3</v>
      </c>
      <c r="K684" s="10" t="n">
        <f aca="false">SUM(D684:J684)</f>
        <v>3.3</v>
      </c>
    </row>
    <row r="685" customFormat="false" ht="15" hidden="false" customHeight="false" outlineLevel="0" collapsed="false">
      <c r="A685" s="42"/>
      <c r="B685" s="42"/>
      <c r="C685" s="11" t="s">
        <v>41</v>
      </c>
      <c r="D685" s="14" t="n">
        <f aca="false">IFERROR((D684-D683)/D683,0)</f>
        <v>-0.733333333333333</v>
      </c>
      <c r="E685" s="14" t="n">
        <f aca="false">IFERROR((E684-E683)/E683,0)</f>
        <v>0</v>
      </c>
      <c r="F685" s="14" t="n">
        <f aca="false">IFERROR((F684-F683)/F683,0)</f>
        <v>0</v>
      </c>
      <c r="G685" s="14" t="n">
        <f aca="false">IFERROR((G684-G683)/G683,0)</f>
        <v>0</v>
      </c>
      <c r="H685" s="14" t="n">
        <f aca="false">IFERROR((H684-H683)/H683,0)</f>
        <v>0</v>
      </c>
      <c r="I685" s="14" t="n">
        <f aca="false">IFERROR((I684-I683)/I683,0)</f>
        <v>0</v>
      </c>
      <c r="J685" s="14" t="n">
        <f aca="false">IFERROR((J684-J683)/J683,0)</f>
        <v>0.3</v>
      </c>
      <c r="K685" s="15" t="n">
        <f aca="false">IFERROR((SUM(D684:J684)-SUM(D683:J683))/SUM(D683:J683),0)</f>
        <v>-0.175</v>
      </c>
    </row>
    <row r="686" customFormat="false" ht="15" hidden="false" customHeight="true" outlineLevel="0" collapsed="false">
      <c r="A686" s="42" t="s">
        <v>562</v>
      </c>
      <c r="B686" s="43" t="s">
        <v>563</v>
      </c>
      <c r="C686" s="5" t="s">
        <v>26</v>
      </c>
      <c r="D686" s="6" t="n">
        <v>1</v>
      </c>
      <c r="E686" s="6" t="n">
        <v>3</v>
      </c>
      <c r="F686" s="6" t="n">
        <v>0</v>
      </c>
      <c r="G686" s="6" t="n">
        <v>0</v>
      </c>
      <c r="H686" s="6" t="n">
        <v>0</v>
      </c>
      <c r="I686" s="6" t="n">
        <v>0</v>
      </c>
      <c r="J686" s="6" t="n">
        <v>0</v>
      </c>
      <c r="K686" s="7" t="n">
        <f aca="false">SUM(D686:J686)</f>
        <v>4</v>
      </c>
    </row>
    <row r="687" customFormat="false" ht="15" hidden="false" customHeight="false" outlineLevel="0" collapsed="false">
      <c r="A687" s="42"/>
      <c r="B687" s="42"/>
      <c r="C687" s="44" t="s">
        <v>14</v>
      </c>
      <c r="D687" s="9" t="n">
        <v>0.5</v>
      </c>
      <c r="E687" s="9" t="n">
        <v>1.9</v>
      </c>
      <c r="F687" s="9" t="n">
        <v>0</v>
      </c>
      <c r="G687" s="9" t="n">
        <v>0</v>
      </c>
      <c r="H687" s="9" t="n">
        <v>0</v>
      </c>
      <c r="I687" s="9" t="n">
        <v>0</v>
      </c>
      <c r="J687" s="9" t="n">
        <v>0</v>
      </c>
      <c r="K687" s="10" t="n">
        <f aca="false">SUM(D687:J687)</f>
        <v>2.4</v>
      </c>
    </row>
    <row r="688" customFormat="false" ht="15" hidden="false" customHeight="false" outlineLevel="0" collapsed="false">
      <c r="A688" s="42"/>
      <c r="B688" s="42"/>
      <c r="C688" s="11" t="s">
        <v>41</v>
      </c>
      <c r="D688" s="14" t="n">
        <f aca="false">IFERROR((D687-D686)/D686,0)</f>
        <v>-0.5</v>
      </c>
      <c r="E688" s="14" t="n">
        <f aca="false">IFERROR((E687-E686)/E686,0)</f>
        <v>-0.366666666666667</v>
      </c>
      <c r="F688" s="14" t="n">
        <f aca="false">IFERROR((F687-F686)/F686,0)</f>
        <v>0</v>
      </c>
      <c r="G688" s="14" t="n">
        <f aca="false">IFERROR((G687-G686)/G686,0)</f>
        <v>0</v>
      </c>
      <c r="H688" s="14" t="n">
        <f aca="false">IFERROR((H687-H686)/H686,0)</f>
        <v>0</v>
      </c>
      <c r="I688" s="14" t="n">
        <f aca="false">IFERROR((I687-I686)/I686,0)</f>
        <v>0</v>
      </c>
      <c r="J688" s="14" t="n">
        <f aca="false">IFERROR((J687-J686)/J686,0)</f>
        <v>0</v>
      </c>
      <c r="K688" s="15" t="n">
        <f aca="false">IFERROR((SUM(D687:J687)-SUM(D686:J686))/SUM(D686:J686),0)</f>
        <v>-0.4</v>
      </c>
    </row>
    <row r="689" customFormat="false" ht="15" hidden="false" customHeight="true" outlineLevel="0" collapsed="false">
      <c r="A689" s="42" t="s">
        <v>564</v>
      </c>
      <c r="B689" s="43" t="s">
        <v>565</v>
      </c>
      <c r="C689" s="5" t="s">
        <v>26</v>
      </c>
      <c r="D689" s="6" t="n">
        <v>1</v>
      </c>
      <c r="E689" s="6" t="n">
        <v>1</v>
      </c>
      <c r="F689" s="6" t="n">
        <v>0</v>
      </c>
      <c r="G689" s="6" t="n">
        <v>0</v>
      </c>
      <c r="H689" s="6" t="n">
        <v>0</v>
      </c>
      <c r="I689" s="6" t="n">
        <v>2</v>
      </c>
      <c r="J689" s="6" t="n">
        <v>0</v>
      </c>
      <c r="K689" s="7" t="n">
        <f aca="false">SUM(D689:J689)</f>
        <v>4</v>
      </c>
    </row>
    <row r="690" customFormat="false" ht="15" hidden="false" customHeight="false" outlineLevel="0" collapsed="false">
      <c r="A690" s="42"/>
      <c r="B690" s="42"/>
      <c r="C690" s="44" t="s">
        <v>14</v>
      </c>
      <c r="D690" s="9" t="n">
        <v>1</v>
      </c>
      <c r="E690" s="9" t="n">
        <v>0.9</v>
      </c>
      <c r="F690" s="9" t="n">
        <v>0</v>
      </c>
      <c r="G690" s="9" t="n">
        <v>0.1</v>
      </c>
      <c r="H690" s="9" t="n">
        <v>0.2</v>
      </c>
      <c r="I690" s="9" t="n">
        <v>1.1</v>
      </c>
      <c r="J690" s="9" t="n">
        <v>0.1</v>
      </c>
      <c r="K690" s="10" t="n">
        <f aca="false">SUM(D690:J690)</f>
        <v>3.4</v>
      </c>
    </row>
    <row r="691" customFormat="false" ht="15" hidden="false" customHeight="false" outlineLevel="0" collapsed="false">
      <c r="A691" s="42"/>
      <c r="B691" s="42"/>
      <c r="C691" s="11" t="s">
        <v>41</v>
      </c>
      <c r="D691" s="14" t="n">
        <f aca="false">IFERROR((D690-D689)/D689,0)</f>
        <v>0</v>
      </c>
      <c r="E691" s="14" t="n">
        <f aca="false">IFERROR((E690-E689)/E689,0)</f>
        <v>-0.1</v>
      </c>
      <c r="F691" s="14" t="n">
        <f aca="false">IFERROR((F690-F689)/F689,0)</f>
        <v>0</v>
      </c>
      <c r="G691" s="14" t="n">
        <f aca="false">IFERROR((G690-G689)/G689,0)</f>
        <v>0</v>
      </c>
      <c r="H691" s="14" t="n">
        <f aca="false">IFERROR((H690-H689)/H689,0)</f>
        <v>0</v>
      </c>
      <c r="I691" s="14" t="n">
        <f aca="false">IFERROR((I690-I689)/I689,0)</f>
        <v>-0.45</v>
      </c>
      <c r="J691" s="14" t="n">
        <f aca="false">IFERROR((J690-J689)/J689,0)</f>
        <v>0</v>
      </c>
      <c r="K691" s="15" t="n">
        <f aca="false">IFERROR((SUM(D690:J690)-SUM(D689:J689))/SUM(D689:J689),0)</f>
        <v>-0.15</v>
      </c>
    </row>
    <row r="692" customFormat="false" ht="15" hidden="false" customHeight="true" outlineLevel="0" collapsed="false">
      <c r="A692" s="42" t="s">
        <v>566</v>
      </c>
      <c r="B692" s="43" t="s">
        <v>567</v>
      </c>
      <c r="C692" s="5" t="s">
        <v>26</v>
      </c>
      <c r="D692" s="6" t="n">
        <v>0</v>
      </c>
      <c r="E692" s="6" t="n">
        <v>0</v>
      </c>
      <c r="F692" s="6" t="n">
        <v>1</v>
      </c>
      <c r="G692" s="6" t="n">
        <v>0</v>
      </c>
      <c r="H692" s="6" t="n">
        <v>0</v>
      </c>
      <c r="I692" s="6" t="n">
        <v>2</v>
      </c>
      <c r="J692" s="6" t="n">
        <v>1</v>
      </c>
      <c r="K692" s="7" t="n">
        <f aca="false">SUM(D692:J692)</f>
        <v>4</v>
      </c>
    </row>
    <row r="693" customFormat="false" ht="15" hidden="false" customHeight="false" outlineLevel="0" collapsed="false">
      <c r="A693" s="42"/>
      <c r="B693" s="42"/>
      <c r="C693" s="44" t="s">
        <v>14</v>
      </c>
      <c r="D693" s="9" t="n">
        <v>0</v>
      </c>
      <c r="E693" s="9" t="n">
        <v>0.1</v>
      </c>
      <c r="F693" s="9" t="n">
        <v>0.9</v>
      </c>
      <c r="G693" s="9" t="n">
        <v>0</v>
      </c>
      <c r="H693" s="9" t="n">
        <v>0.1</v>
      </c>
      <c r="I693" s="9" t="n">
        <v>1.7</v>
      </c>
      <c r="J693" s="9" t="n">
        <v>2.1</v>
      </c>
      <c r="K693" s="10" t="n">
        <f aca="false">SUM(D693:J693)</f>
        <v>4.9</v>
      </c>
    </row>
    <row r="694" customFormat="false" ht="15" hidden="false" customHeight="false" outlineLevel="0" collapsed="false">
      <c r="A694" s="42"/>
      <c r="B694" s="42"/>
      <c r="C694" s="11" t="s">
        <v>41</v>
      </c>
      <c r="D694" s="14" t="n">
        <f aca="false">IFERROR((D693-D692)/D692,0)</f>
        <v>0</v>
      </c>
      <c r="E694" s="14" t="n">
        <f aca="false">IFERROR((E693-E692)/E692,0)</f>
        <v>0</v>
      </c>
      <c r="F694" s="14" t="n">
        <f aca="false">IFERROR((F693-F692)/F692,0)</f>
        <v>-0.1</v>
      </c>
      <c r="G694" s="14" t="n">
        <f aca="false">IFERROR((G693-G692)/G692,0)</f>
        <v>0</v>
      </c>
      <c r="H694" s="14" t="n">
        <f aca="false">IFERROR((H693-H692)/H692,0)</f>
        <v>0</v>
      </c>
      <c r="I694" s="14" t="n">
        <f aca="false">IFERROR((I693-I692)/I692,0)</f>
        <v>-0.15</v>
      </c>
      <c r="J694" s="14" t="n">
        <f aca="false">IFERROR((J693-J692)/J692,0)</f>
        <v>1.1</v>
      </c>
      <c r="K694" s="15" t="n">
        <f aca="false">IFERROR((SUM(D693:J693)-SUM(D692:J692))/SUM(D692:J692),0)</f>
        <v>0.225</v>
      </c>
    </row>
    <row r="695" customFormat="false" ht="15" hidden="false" customHeight="true" outlineLevel="0" collapsed="false">
      <c r="A695" s="42" t="s">
        <v>568</v>
      </c>
      <c r="B695" s="43" t="s">
        <v>569</v>
      </c>
      <c r="C695" s="5" t="s">
        <v>26</v>
      </c>
      <c r="D695" s="6" t="n">
        <v>0</v>
      </c>
      <c r="E695" s="6" t="n">
        <v>0</v>
      </c>
      <c r="F695" s="6" t="n">
        <v>0</v>
      </c>
      <c r="G695" s="6" t="n">
        <v>0</v>
      </c>
      <c r="H695" s="6" t="n">
        <v>1</v>
      </c>
      <c r="I695" s="6" t="n">
        <v>2</v>
      </c>
      <c r="J695" s="6" t="n">
        <v>1</v>
      </c>
      <c r="K695" s="7" t="n">
        <f aca="false">SUM(D695:J695)</f>
        <v>4</v>
      </c>
    </row>
    <row r="696" customFormat="false" ht="15" hidden="false" customHeight="false" outlineLevel="0" collapsed="false">
      <c r="A696" s="42"/>
      <c r="B696" s="42"/>
      <c r="C696" s="44" t="s">
        <v>14</v>
      </c>
      <c r="D696" s="9" t="n">
        <v>0.4</v>
      </c>
      <c r="E696" s="9" t="n">
        <v>0.2</v>
      </c>
      <c r="F696" s="9" t="n">
        <v>0.3</v>
      </c>
      <c r="G696" s="9" t="n">
        <v>0.2</v>
      </c>
      <c r="H696" s="9" t="n">
        <v>1.7</v>
      </c>
      <c r="I696" s="9" t="n">
        <v>2.1</v>
      </c>
      <c r="J696" s="9" t="n">
        <v>1.8</v>
      </c>
      <c r="K696" s="10" t="n">
        <f aca="false">SUM(D696:J696)</f>
        <v>6.7</v>
      </c>
    </row>
    <row r="697" customFormat="false" ht="15" hidden="false" customHeight="false" outlineLevel="0" collapsed="false">
      <c r="A697" s="42"/>
      <c r="B697" s="42"/>
      <c r="C697" s="11" t="s">
        <v>41</v>
      </c>
      <c r="D697" s="14" t="n">
        <f aca="false">IFERROR((D696-D695)/D695,0)</f>
        <v>0</v>
      </c>
      <c r="E697" s="14" t="n">
        <f aca="false">IFERROR((E696-E695)/E695,0)</f>
        <v>0</v>
      </c>
      <c r="F697" s="14" t="n">
        <f aca="false">IFERROR((F696-F695)/F695,0)</f>
        <v>0</v>
      </c>
      <c r="G697" s="14" t="n">
        <f aca="false">IFERROR((G696-G695)/G695,0)</f>
        <v>0</v>
      </c>
      <c r="H697" s="14" t="n">
        <f aca="false">IFERROR((H696-H695)/H695,0)</f>
        <v>0.7</v>
      </c>
      <c r="I697" s="14" t="n">
        <f aca="false">IFERROR((I696-I695)/I695,0)</f>
        <v>0.05</v>
      </c>
      <c r="J697" s="14" t="n">
        <f aca="false">IFERROR((J696-J695)/J695,0)</f>
        <v>0.8</v>
      </c>
      <c r="K697" s="15" t="n">
        <f aca="false">IFERROR((SUM(D696:J696)-SUM(D695:J695))/SUM(D695:J695),0)</f>
        <v>0.675</v>
      </c>
    </row>
    <row r="698" customFormat="false" ht="15" hidden="false" customHeight="true" outlineLevel="0" collapsed="false">
      <c r="A698" s="42" t="s">
        <v>570</v>
      </c>
      <c r="B698" s="43" t="s">
        <v>571</v>
      </c>
      <c r="C698" s="5" t="s">
        <v>26</v>
      </c>
      <c r="D698" s="6" t="n">
        <v>0</v>
      </c>
      <c r="E698" s="6" t="n">
        <v>1</v>
      </c>
      <c r="F698" s="6" t="n">
        <v>0</v>
      </c>
      <c r="G698" s="6" t="n">
        <v>1</v>
      </c>
      <c r="H698" s="6" t="n">
        <v>0</v>
      </c>
      <c r="I698" s="6" t="n">
        <v>1</v>
      </c>
      <c r="J698" s="6" t="n">
        <v>1</v>
      </c>
      <c r="K698" s="7" t="n">
        <f aca="false">SUM(D698:J698)</f>
        <v>4</v>
      </c>
    </row>
    <row r="699" customFormat="false" ht="15" hidden="false" customHeight="false" outlineLevel="0" collapsed="false">
      <c r="A699" s="42"/>
      <c r="B699" s="42"/>
      <c r="C699" s="44" t="s">
        <v>14</v>
      </c>
      <c r="D699" s="9" t="n">
        <v>0.1</v>
      </c>
      <c r="E699" s="9" t="n">
        <v>1.6</v>
      </c>
      <c r="F699" s="9" t="n">
        <v>0.1</v>
      </c>
      <c r="G699" s="9" t="n">
        <v>1.2</v>
      </c>
      <c r="H699" s="9" t="n">
        <v>0.1</v>
      </c>
      <c r="I699" s="9" t="n">
        <v>1.3</v>
      </c>
      <c r="J699" s="9" t="n">
        <v>1.9</v>
      </c>
      <c r="K699" s="10" t="n">
        <f aca="false">SUM(D699:J699)</f>
        <v>6.3</v>
      </c>
    </row>
    <row r="700" customFormat="false" ht="15" hidden="false" customHeight="false" outlineLevel="0" collapsed="false">
      <c r="A700" s="42"/>
      <c r="B700" s="42"/>
      <c r="C700" s="11" t="s">
        <v>41</v>
      </c>
      <c r="D700" s="14" t="n">
        <f aca="false">IFERROR((D699-D698)/D698,0)</f>
        <v>0</v>
      </c>
      <c r="E700" s="14" t="n">
        <f aca="false">IFERROR((E699-E698)/E698,0)</f>
        <v>0.6</v>
      </c>
      <c r="F700" s="14" t="n">
        <f aca="false">IFERROR((F699-F698)/F698,0)</f>
        <v>0</v>
      </c>
      <c r="G700" s="14" t="n">
        <f aca="false">IFERROR((G699-G698)/G698,0)</f>
        <v>0.2</v>
      </c>
      <c r="H700" s="14" t="n">
        <f aca="false">IFERROR((H699-H698)/H698,0)</f>
        <v>0</v>
      </c>
      <c r="I700" s="14" t="n">
        <f aca="false">IFERROR((I699-I698)/I698,0)</f>
        <v>0.3</v>
      </c>
      <c r="J700" s="14" t="n">
        <f aca="false">IFERROR((J699-J698)/J698,0)</f>
        <v>0.9</v>
      </c>
      <c r="K700" s="15" t="n">
        <f aca="false">IFERROR((SUM(D699:J699)-SUM(D698:J698))/SUM(D698:J698),0)</f>
        <v>0.575</v>
      </c>
    </row>
    <row r="701" customFormat="false" ht="15" hidden="false" customHeight="true" outlineLevel="0" collapsed="false">
      <c r="A701" s="42" t="s">
        <v>572</v>
      </c>
      <c r="B701" s="43" t="s">
        <v>573</v>
      </c>
      <c r="C701" s="5" t="s">
        <v>26</v>
      </c>
      <c r="D701" s="6" t="n">
        <v>2</v>
      </c>
      <c r="E701" s="6" t="n">
        <v>2</v>
      </c>
      <c r="F701" s="6" t="n">
        <v>0</v>
      </c>
      <c r="G701" s="6" t="n">
        <v>0</v>
      </c>
      <c r="H701" s="6" t="n">
        <v>0</v>
      </c>
      <c r="I701" s="6" t="n">
        <v>0</v>
      </c>
      <c r="J701" s="6" t="n">
        <v>0</v>
      </c>
      <c r="K701" s="7" t="n">
        <f aca="false">SUM(D701:J701)</f>
        <v>4</v>
      </c>
    </row>
    <row r="702" customFormat="false" ht="15" hidden="false" customHeight="false" outlineLevel="0" collapsed="false">
      <c r="A702" s="42"/>
      <c r="B702" s="42"/>
      <c r="C702" s="44" t="s">
        <v>14</v>
      </c>
      <c r="D702" s="9" t="n">
        <v>0.1</v>
      </c>
      <c r="E702" s="9" t="n">
        <v>0.9</v>
      </c>
      <c r="F702" s="9" t="n">
        <v>0.1</v>
      </c>
      <c r="G702" s="9" t="n">
        <v>0.1</v>
      </c>
      <c r="H702" s="9" t="n">
        <v>0.1</v>
      </c>
      <c r="I702" s="9" t="n">
        <v>0.1</v>
      </c>
      <c r="J702" s="9" t="n">
        <v>0.1</v>
      </c>
      <c r="K702" s="10" t="n">
        <f aca="false">SUM(D702:J702)</f>
        <v>1.5</v>
      </c>
    </row>
    <row r="703" customFormat="false" ht="15" hidden="false" customHeight="false" outlineLevel="0" collapsed="false">
      <c r="A703" s="42"/>
      <c r="B703" s="42"/>
      <c r="C703" s="11" t="s">
        <v>41</v>
      </c>
      <c r="D703" s="14" t="n">
        <f aca="false">IFERROR((D702-D701)/D701,0)</f>
        <v>-0.95</v>
      </c>
      <c r="E703" s="14" t="n">
        <f aca="false">IFERROR((E702-E701)/E701,0)</f>
        <v>-0.55</v>
      </c>
      <c r="F703" s="14" t="n">
        <f aca="false">IFERROR((F702-F701)/F701,0)</f>
        <v>0</v>
      </c>
      <c r="G703" s="14" t="n">
        <f aca="false">IFERROR((G702-G701)/G701,0)</f>
        <v>0</v>
      </c>
      <c r="H703" s="14" t="n">
        <f aca="false">IFERROR((H702-H701)/H701,0)</f>
        <v>0</v>
      </c>
      <c r="I703" s="14" t="n">
        <f aca="false">IFERROR((I702-I701)/I701,0)</f>
        <v>0</v>
      </c>
      <c r="J703" s="14" t="n">
        <f aca="false">IFERROR((J702-J701)/J701,0)</f>
        <v>0</v>
      </c>
      <c r="K703" s="15" t="n">
        <f aca="false">IFERROR((SUM(D702:J702)-SUM(D701:J701))/SUM(D701:J701),0)</f>
        <v>-0.625</v>
      </c>
    </row>
    <row r="704" customFormat="false" ht="15" hidden="false" customHeight="true" outlineLevel="0" collapsed="false">
      <c r="A704" s="42" t="s">
        <v>574</v>
      </c>
      <c r="B704" s="43" t="s">
        <v>575</v>
      </c>
      <c r="C704" s="5" t="s">
        <v>26</v>
      </c>
      <c r="D704" s="6" t="n">
        <v>3</v>
      </c>
      <c r="E704" s="6" t="n">
        <v>0</v>
      </c>
      <c r="F704" s="6" t="n">
        <v>0</v>
      </c>
      <c r="G704" s="6" t="n">
        <v>0</v>
      </c>
      <c r="H704" s="6" t="n">
        <v>0</v>
      </c>
      <c r="I704" s="6" t="n">
        <v>0</v>
      </c>
      <c r="J704" s="6" t="n">
        <v>0</v>
      </c>
      <c r="K704" s="7" t="n">
        <f aca="false">SUM(D704:J704)</f>
        <v>3</v>
      </c>
    </row>
    <row r="705" customFormat="false" ht="15" hidden="false" customHeight="false" outlineLevel="0" collapsed="false">
      <c r="A705" s="42"/>
      <c r="B705" s="42"/>
      <c r="C705" s="44" t="s">
        <v>14</v>
      </c>
      <c r="D705" s="9" t="n">
        <v>0.7</v>
      </c>
      <c r="E705" s="9" t="n">
        <v>0.1</v>
      </c>
      <c r="F705" s="9" t="n">
        <v>0.2</v>
      </c>
      <c r="G705" s="9" t="n">
        <v>0.1</v>
      </c>
      <c r="H705" s="9" t="n">
        <v>0</v>
      </c>
      <c r="I705" s="9" t="n">
        <v>0.3</v>
      </c>
      <c r="J705" s="9" t="n">
        <v>1.3</v>
      </c>
      <c r="K705" s="10" t="n">
        <f aca="false">SUM(D705:J705)</f>
        <v>2.7</v>
      </c>
    </row>
    <row r="706" customFormat="false" ht="15" hidden="false" customHeight="false" outlineLevel="0" collapsed="false">
      <c r="A706" s="42"/>
      <c r="B706" s="42"/>
      <c r="C706" s="11" t="s">
        <v>41</v>
      </c>
      <c r="D706" s="14" t="n">
        <f aca="false">IFERROR((D705-D704)/D704,0)</f>
        <v>-0.766666666666667</v>
      </c>
      <c r="E706" s="14" t="n">
        <f aca="false">IFERROR((E705-E704)/E704,0)</f>
        <v>0</v>
      </c>
      <c r="F706" s="14" t="n">
        <f aca="false">IFERROR((F705-F704)/F704,0)</f>
        <v>0</v>
      </c>
      <c r="G706" s="14" t="n">
        <f aca="false">IFERROR((G705-G704)/G704,0)</f>
        <v>0</v>
      </c>
      <c r="H706" s="14" t="n">
        <f aca="false">IFERROR((H705-H704)/H704,0)</f>
        <v>0</v>
      </c>
      <c r="I706" s="14" t="n">
        <f aca="false">IFERROR((I705-I704)/I704,0)</f>
        <v>0</v>
      </c>
      <c r="J706" s="14" t="n">
        <f aca="false">IFERROR((J705-J704)/J704,0)</f>
        <v>0</v>
      </c>
      <c r="K706" s="15" t="n">
        <f aca="false">IFERROR((SUM(D705:J705)-SUM(D704:J704))/SUM(D704:J704),0)</f>
        <v>-0.0999999999999999</v>
      </c>
    </row>
    <row r="707" customFormat="false" ht="15" hidden="false" customHeight="true" outlineLevel="0" collapsed="false">
      <c r="A707" s="42" t="s">
        <v>576</v>
      </c>
      <c r="B707" s="43" t="s">
        <v>577</v>
      </c>
      <c r="C707" s="5" t="s">
        <v>26</v>
      </c>
      <c r="D707" s="6" t="n">
        <v>2</v>
      </c>
      <c r="E707" s="6" t="n">
        <v>0</v>
      </c>
      <c r="F707" s="6" t="n">
        <v>0</v>
      </c>
      <c r="G707" s="6" t="n">
        <v>1</v>
      </c>
      <c r="H707" s="6" t="n">
        <v>0</v>
      </c>
      <c r="I707" s="6" t="n">
        <v>0</v>
      </c>
      <c r="J707" s="6" t="n">
        <v>0</v>
      </c>
      <c r="K707" s="7" t="n">
        <f aca="false">SUM(D707:J707)</f>
        <v>3</v>
      </c>
    </row>
    <row r="708" customFormat="false" ht="15" hidden="false" customHeight="false" outlineLevel="0" collapsed="false">
      <c r="A708" s="42"/>
      <c r="B708" s="42"/>
      <c r="C708" s="44" t="s">
        <v>14</v>
      </c>
      <c r="D708" s="9" t="n">
        <v>0.8</v>
      </c>
      <c r="E708" s="9" t="n">
        <v>0</v>
      </c>
      <c r="F708" s="9" t="n">
        <v>0</v>
      </c>
      <c r="G708" s="9" t="n">
        <v>0.9</v>
      </c>
      <c r="H708" s="9" t="n">
        <v>0</v>
      </c>
      <c r="I708" s="9" t="n">
        <v>0</v>
      </c>
      <c r="J708" s="9" t="n">
        <v>0</v>
      </c>
      <c r="K708" s="10" t="n">
        <f aca="false">SUM(D708:J708)</f>
        <v>1.7</v>
      </c>
    </row>
    <row r="709" customFormat="false" ht="15" hidden="false" customHeight="false" outlineLevel="0" collapsed="false">
      <c r="A709" s="42"/>
      <c r="B709" s="42"/>
      <c r="C709" s="11" t="s">
        <v>41</v>
      </c>
      <c r="D709" s="14" t="n">
        <f aca="false">IFERROR((D708-D707)/D707,0)</f>
        <v>-0.6</v>
      </c>
      <c r="E709" s="14" t="n">
        <f aca="false">IFERROR((E708-E707)/E707,0)</f>
        <v>0</v>
      </c>
      <c r="F709" s="14" t="n">
        <f aca="false">IFERROR((F708-F707)/F707,0)</f>
        <v>0</v>
      </c>
      <c r="G709" s="14" t="n">
        <f aca="false">IFERROR((G708-G707)/G707,0)</f>
        <v>-0.1</v>
      </c>
      <c r="H709" s="14" t="n">
        <f aca="false">IFERROR((H708-H707)/H707,0)</f>
        <v>0</v>
      </c>
      <c r="I709" s="14" t="n">
        <f aca="false">IFERROR((I708-I707)/I707,0)</f>
        <v>0</v>
      </c>
      <c r="J709" s="14" t="n">
        <f aca="false">IFERROR((J708-J707)/J707,0)</f>
        <v>0</v>
      </c>
      <c r="K709" s="15" t="n">
        <f aca="false">IFERROR((SUM(D708:J708)-SUM(D707:J707))/SUM(D707:J707),0)</f>
        <v>-0.433333333333333</v>
      </c>
    </row>
    <row r="710" customFormat="false" ht="15" hidden="false" customHeight="true" outlineLevel="0" collapsed="false">
      <c r="A710" s="42" t="s">
        <v>578</v>
      </c>
      <c r="B710" s="43" t="s">
        <v>579</v>
      </c>
      <c r="C710" s="5" t="s">
        <v>26</v>
      </c>
      <c r="D710" s="6" t="n">
        <v>1</v>
      </c>
      <c r="E710" s="6" t="n">
        <v>1</v>
      </c>
      <c r="F710" s="6" t="n">
        <v>0</v>
      </c>
      <c r="G710" s="6" t="n">
        <v>1</v>
      </c>
      <c r="H710" s="6" t="n">
        <v>0</v>
      </c>
      <c r="I710" s="6" t="n">
        <v>0</v>
      </c>
      <c r="J710" s="6" t="n">
        <v>0</v>
      </c>
      <c r="K710" s="7" t="n">
        <f aca="false">SUM(D710:J710)</f>
        <v>3</v>
      </c>
    </row>
    <row r="711" customFormat="false" ht="15" hidden="false" customHeight="false" outlineLevel="0" collapsed="false">
      <c r="A711" s="42"/>
      <c r="B711" s="42"/>
      <c r="C711" s="44" t="s">
        <v>14</v>
      </c>
      <c r="D711" s="9" t="n">
        <v>1.5</v>
      </c>
      <c r="E711" s="9" t="n">
        <v>0.7</v>
      </c>
      <c r="F711" s="9" t="n">
        <v>0.5</v>
      </c>
      <c r="G711" s="9" t="n">
        <v>1.7</v>
      </c>
      <c r="H711" s="9" t="n">
        <v>0.7</v>
      </c>
      <c r="I711" s="9" t="n">
        <v>0.5</v>
      </c>
      <c r="J711" s="9" t="n">
        <v>0.4</v>
      </c>
      <c r="K711" s="10" t="n">
        <f aca="false">SUM(D711:J711)</f>
        <v>6</v>
      </c>
    </row>
    <row r="712" customFormat="false" ht="15" hidden="false" customHeight="false" outlineLevel="0" collapsed="false">
      <c r="A712" s="42"/>
      <c r="B712" s="42"/>
      <c r="C712" s="11" t="s">
        <v>41</v>
      </c>
      <c r="D712" s="14" t="n">
        <f aca="false">IFERROR((D711-D710)/D710,0)</f>
        <v>0.5</v>
      </c>
      <c r="E712" s="14" t="n">
        <f aca="false">IFERROR((E711-E710)/E710,0)</f>
        <v>-0.3</v>
      </c>
      <c r="F712" s="14" t="n">
        <f aca="false">IFERROR((F711-F710)/F710,0)</f>
        <v>0</v>
      </c>
      <c r="G712" s="14" t="n">
        <f aca="false">IFERROR((G711-G710)/G710,0)</f>
        <v>0.7</v>
      </c>
      <c r="H712" s="14" t="n">
        <f aca="false">IFERROR((H711-H710)/H710,0)</f>
        <v>0</v>
      </c>
      <c r="I712" s="14" t="n">
        <f aca="false">IFERROR((I711-I710)/I710,0)</f>
        <v>0</v>
      </c>
      <c r="J712" s="14" t="n">
        <f aca="false">IFERROR((J711-J710)/J710,0)</f>
        <v>0</v>
      </c>
      <c r="K712" s="15" t="n">
        <f aca="false">IFERROR((SUM(D711:J711)-SUM(D710:J710))/SUM(D710:J710),0)</f>
        <v>1</v>
      </c>
    </row>
    <row r="713" customFormat="false" ht="15" hidden="false" customHeight="true" outlineLevel="0" collapsed="false">
      <c r="A713" s="42" t="s">
        <v>580</v>
      </c>
      <c r="B713" s="43" t="s">
        <v>581</v>
      </c>
      <c r="C713" s="5" t="s">
        <v>26</v>
      </c>
      <c r="D713" s="6" t="n">
        <v>0</v>
      </c>
      <c r="E713" s="6" t="n">
        <v>1</v>
      </c>
      <c r="F713" s="6" t="n">
        <v>1</v>
      </c>
      <c r="G713" s="6" t="n">
        <v>0</v>
      </c>
      <c r="H713" s="6" t="n">
        <v>0</v>
      </c>
      <c r="I713" s="6" t="n">
        <v>1</v>
      </c>
      <c r="J713" s="6" t="n">
        <v>0</v>
      </c>
      <c r="K713" s="7" t="n">
        <f aca="false">SUM(D713:J713)</f>
        <v>3</v>
      </c>
    </row>
    <row r="714" customFormat="false" ht="15" hidden="false" customHeight="false" outlineLevel="0" collapsed="false">
      <c r="A714" s="42"/>
      <c r="B714" s="42"/>
      <c r="C714" s="44" t="s">
        <v>14</v>
      </c>
      <c r="D714" s="9" t="n">
        <v>0.1</v>
      </c>
      <c r="E714" s="9" t="n">
        <v>0.4</v>
      </c>
      <c r="F714" s="9" t="n">
        <v>0.9</v>
      </c>
      <c r="G714" s="9" t="n">
        <v>0</v>
      </c>
      <c r="H714" s="9" t="n">
        <v>0.1</v>
      </c>
      <c r="I714" s="9" t="n">
        <v>1.5</v>
      </c>
      <c r="J714" s="9" t="n">
        <v>0.1</v>
      </c>
      <c r="K714" s="10" t="n">
        <f aca="false">SUM(D714:J714)</f>
        <v>3.1</v>
      </c>
    </row>
    <row r="715" customFormat="false" ht="15" hidden="false" customHeight="false" outlineLevel="0" collapsed="false">
      <c r="A715" s="42"/>
      <c r="B715" s="42"/>
      <c r="C715" s="11" t="s">
        <v>41</v>
      </c>
      <c r="D715" s="14" t="n">
        <f aca="false">IFERROR((D714-D713)/D713,0)</f>
        <v>0</v>
      </c>
      <c r="E715" s="14" t="n">
        <f aca="false">IFERROR((E714-E713)/E713,0)</f>
        <v>-0.6</v>
      </c>
      <c r="F715" s="14" t="n">
        <f aca="false">IFERROR((F714-F713)/F713,0)</f>
        <v>-0.1</v>
      </c>
      <c r="G715" s="14" t="n">
        <f aca="false">IFERROR((G714-G713)/G713,0)</f>
        <v>0</v>
      </c>
      <c r="H715" s="14" t="n">
        <f aca="false">IFERROR((H714-H713)/H713,0)</f>
        <v>0</v>
      </c>
      <c r="I715" s="14" t="n">
        <f aca="false">IFERROR((I714-I713)/I713,0)</f>
        <v>0.5</v>
      </c>
      <c r="J715" s="14" t="n">
        <f aca="false">IFERROR((J714-J713)/J713,0)</f>
        <v>0</v>
      </c>
      <c r="K715" s="15" t="n">
        <f aca="false">IFERROR((SUM(D714:J714)-SUM(D713:J713))/SUM(D713:J713),0)</f>
        <v>0.0333333333333334</v>
      </c>
    </row>
    <row r="716" customFormat="false" ht="15" hidden="false" customHeight="true" outlineLevel="0" collapsed="false">
      <c r="A716" s="42" t="s">
        <v>582</v>
      </c>
      <c r="B716" s="43" t="s">
        <v>583</v>
      </c>
      <c r="C716" s="5" t="s">
        <v>26</v>
      </c>
      <c r="D716" s="6" t="n">
        <v>1</v>
      </c>
      <c r="E716" s="6" t="n">
        <v>0</v>
      </c>
      <c r="F716" s="6" t="n">
        <v>1</v>
      </c>
      <c r="G716" s="6" t="n">
        <v>0</v>
      </c>
      <c r="H716" s="6" t="n">
        <v>1</v>
      </c>
      <c r="I716" s="6" t="n">
        <v>0</v>
      </c>
      <c r="J716" s="6" t="n">
        <v>0</v>
      </c>
      <c r="K716" s="7" t="n">
        <f aca="false">SUM(D716:J716)</f>
        <v>3</v>
      </c>
    </row>
    <row r="717" customFormat="false" ht="15" hidden="false" customHeight="false" outlineLevel="0" collapsed="false">
      <c r="A717" s="42"/>
      <c r="B717" s="42"/>
      <c r="C717" s="44" t="s">
        <v>14</v>
      </c>
      <c r="D717" s="9" t="n">
        <v>0.2</v>
      </c>
      <c r="E717" s="9" t="n">
        <v>0</v>
      </c>
      <c r="F717" s="9" t="n">
        <v>0.1</v>
      </c>
      <c r="G717" s="9" t="n">
        <v>0</v>
      </c>
      <c r="H717" s="9" t="n">
        <v>0.8</v>
      </c>
      <c r="I717" s="9" t="n">
        <v>0.1</v>
      </c>
      <c r="J717" s="9" t="n">
        <v>0</v>
      </c>
      <c r="K717" s="10" t="n">
        <f aca="false">SUM(D717:J717)</f>
        <v>1.2</v>
      </c>
    </row>
    <row r="718" customFormat="false" ht="15" hidden="false" customHeight="false" outlineLevel="0" collapsed="false">
      <c r="A718" s="42"/>
      <c r="B718" s="42"/>
      <c r="C718" s="11" t="s">
        <v>41</v>
      </c>
      <c r="D718" s="14" t="n">
        <f aca="false">IFERROR((D717-D716)/D716,0)</f>
        <v>-0.8</v>
      </c>
      <c r="E718" s="14" t="n">
        <f aca="false">IFERROR((E717-E716)/E716,0)</f>
        <v>0</v>
      </c>
      <c r="F718" s="14" t="n">
        <f aca="false">IFERROR((F717-F716)/F716,0)</f>
        <v>-0.9</v>
      </c>
      <c r="G718" s="14" t="n">
        <f aca="false">IFERROR((G717-G716)/G716,0)</f>
        <v>0</v>
      </c>
      <c r="H718" s="14" t="n">
        <f aca="false">IFERROR((H717-H716)/H716,0)</f>
        <v>-0.2</v>
      </c>
      <c r="I718" s="14" t="n">
        <f aca="false">IFERROR((I717-I716)/I716,0)</f>
        <v>0</v>
      </c>
      <c r="J718" s="14" t="n">
        <f aca="false">IFERROR((J717-J716)/J716,0)</f>
        <v>0</v>
      </c>
      <c r="K718" s="15" t="n">
        <f aca="false">IFERROR((SUM(D717:J717)-SUM(D716:J716))/SUM(D716:J716),0)</f>
        <v>-0.6</v>
      </c>
    </row>
    <row r="719" customFormat="false" ht="15" hidden="false" customHeight="true" outlineLevel="0" collapsed="false">
      <c r="A719" s="42" t="s">
        <v>584</v>
      </c>
      <c r="B719" s="43" t="s">
        <v>282</v>
      </c>
      <c r="C719" s="5" t="s">
        <v>26</v>
      </c>
      <c r="D719" s="6" t="n">
        <v>0</v>
      </c>
      <c r="E719" s="6" t="n">
        <v>1</v>
      </c>
      <c r="F719" s="6" t="n">
        <v>0</v>
      </c>
      <c r="G719" s="6" t="n">
        <v>0</v>
      </c>
      <c r="H719" s="6" t="n">
        <v>0</v>
      </c>
      <c r="I719" s="6" t="n">
        <v>1</v>
      </c>
      <c r="J719" s="6" t="n">
        <v>1</v>
      </c>
      <c r="K719" s="7" t="n">
        <f aca="false">SUM(D719:J719)</f>
        <v>3</v>
      </c>
    </row>
    <row r="720" customFormat="false" ht="15" hidden="false" customHeight="false" outlineLevel="0" collapsed="false">
      <c r="A720" s="42"/>
      <c r="B720" s="42"/>
      <c r="C720" s="44" t="s">
        <v>14</v>
      </c>
      <c r="D720" s="9" t="n">
        <v>0.1</v>
      </c>
      <c r="E720" s="9" t="n">
        <v>0.1</v>
      </c>
      <c r="F720" s="9" t="n">
        <v>0</v>
      </c>
      <c r="G720" s="9" t="n">
        <v>0.1</v>
      </c>
      <c r="H720" s="9" t="n">
        <v>0</v>
      </c>
      <c r="I720" s="9" t="n">
        <v>0.4</v>
      </c>
      <c r="J720" s="9" t="n">
        <v>1</v>
      </c>
      <c r="K720" s="10" t="n">
        <f aca="false">SUM(D720:J720)</f>
        <v>1.7</v>
      </c>
    </row>
    <row r="721" customFormat="false" ht="15" hidden="false" customHeight="false" outlineLevel="0" collapsed="false">
      <c r="A721" s="42"/>
      <c r="B721" s="42"/>
      <c r="C721" s="11" t="s">
        <v>41</v>
      </c>
      <c r="D721" s="14" t="n">
        <f aca="false">IFERROR((D720-D719)/D719,0)</f>
        <v>0</v>
      </c>
      <c r="E721" s="14" t="n">
        <f aca="false">IFERROR((E720-E719)/E719,0)</f>
        <v>-0.9</v>
      </c>
      <c r="F721" s="14" t="n">
        <f aca="false">IFERROR((F720-F719)/F719,0)</f>
        <v>0</v>
      </c>
      <c r="G721" s="14" t="n">
        <f aca="false">IFERROR((G720-G719)/G719,0)</f>
        <v>0</v>
      </c>
      <c r="H721" s="14" t="n">
        <f aca="false">IFERROR((H720-H719)/H719,0)</f>
        <v>0</v>
      </c>
      <c r="I721" s="14" t="n">
        <f aca="false">IFERROR((I720-I719)/I719,0)</f>
        <v>-0.6</v>
      </c>
      <c r="J721" s="14" t="n">
        <f aca="false">IFERROR((J720-J719)/J719,0)</f>
        <v>0</v>
      </c>
      <c r="K721" s="15" t="n">
        <f aca="false">IFERROR((SUM(D720:J720)-SUM(D719:J719))/SUM(D719:J719),0)</f>
        <v>-0.433333333333333</v>
      </c>
    </row>
    <row r="722" customFormat="false" ht="15" hidden="false" customHeight="true" outlineLevel="0" collapsed="false">
      <c r="A722" s="42" t="s">
        <v>585</v>
      </c>
      <c r="B722" s="43" t="s">
        <v>282</v>
      </c>
      <c r="C722" s="5" t="s">
        <v>26</v>
      </c>
      <c r="D722" s="6" t="n">
        <v>0</v>
      </c>
      <c r="E722" s="6" t="n">
        <v>0</v>
      </c>
      <c r="F722" s="6" t="n">
        <v>3</v>
      </c>
      <c r="G722" s="6" t="n">
        <v>0</v>
      </c>
      <c r="H722" s="6" t="n">
        <v>0</v>
      </c>
      <c r="I722" s="6" t="n">
        <v>0</v>
      </c>
      <c r="J722" s="6" t="n">
        <v>0</v>
      </c>
      <c r="K722" s="7" t="n">
        <f aca="false">SUM(D722:J722)</f>
        <v>3</v>
      </c>
    </row>
    <row r="723" customFormat="false" ht="15" hidden="false" customHeight="false" outlineLevel="0" collapsed="false">
      <c r="A723" s="42"/>
      <c r="B723" s="42"/>
      <c r="C723" s="44" t="s">
        <v>14</v>
      </c>
      <c r="D723" s="9" t="n">
        <v>0</v>
      </c>
      <c r="E723" s="9" t="n">
        <v>0</v>
      </c>
      <c r="F723" s="9" t="n">
        <v>0.8</v>
      </c>
      <c r="G723" s="9" t="n">
        <v>0</v>
      </c>
      <c r="H723" s="9" t="n">
        <v>0</v>
      </c>
      <c r="I723" s="9" t="n">
        <v>0</v>
      </c>
      <c r="J723" s="9" t="n">
        <v>0</v>
      </c>
      <c r="K723" s="10" t="n">
        <f aca="false">SUM(D723:J723)</f>
        <v>0.8</v>
      </c>
    </row>
    <row r="724" customFormat="false" ht="15" hidden="false" customHeight="false" outlineLevel="0" collapsed="false">
      <c r="A724" s="42"/>
      <c r="B724" s="42"/>
      <c r="C724" s="11" t="s">
        <v>41</v>
      </c>
      <c r="D724" s="14" t="n">
        <f aca="false">IFERROR((D723-D722)/D722,0)</f>
        <v>0</v>
      </c>
      <c r="E724" s="14" t="n">
        <f aca="false">IFERROR((E723-E722)/E722,0)</f>
        <v>0</v>
      </c>
      <c r="F724" s="14" t="n">
        <f aca="false">IFERROR((F723-F722)/F722,0)</f>
        <v>-0.733333333333333</v>
      </c>
      <c r="G724" s="14" t="n">
        <f aca="false">IFERROR((G723-G722)/G722,0)</f>
        <v>0</v>
      </c>
      <c r="H724" s="14" t="n">
        <f aca="false">IFERROR((H723-H722)/H722,0)</f>
        <v>0</v>
      </c>
      <c r="I724" s="14" t="n">
        <f aca="false">IFERROR((I723-I722)/I722,0)</f>
        <v>0</v>
      </c>
      <c r="J724" s="14" t="n">
        <f aca="false">IFERROR((J723-J722)/J722,0)</f>
        <v>0</v>
      </c>
      <c r="K724" s="15" t="n">
        <f aca="false">IFERROR((SUM(D723:J723)-SUM(D722:J722))/SUM(D722:J722),0)</f>
        <v>-0.733333333333333</v>
      </c>
    </row>
    <row r="725" customFormat="false" ht="15" hidden="false" customHeight="true" outlineLevel="0" collapsed="false">
      <c r="A725" s="42" t="s">
        <v>586</v>
      </c>
      <c r="B725" s="43" t="s">
        <v>587</v>
      </c>
      <c r="C725" s="5" t="s">
        <v>26</v>
      </c>
      <c r="D725" s="6" t="n">
        <v>1</v>
      </c>
      <c r="E725" s="6" t="n">
        <v>0</v>
      </c>
      <c r="F725" s="6" t="n">
        <v>0</v>
      </c>
      <c r="G725" s="6" t="n">
        <v>2</v>
      </c>
      <c r="H725" s="6" t="n">
        <v>0</v>
      </c>
      <c r="I725" s="6" t="n">
        <v>0</v>
      </c>
      <c r="J725" s="6" t="n">
        <v>0</v>
      </c>
      <c r="K725" s="7" t="n">
        <f aca="false">SUM(D725:J725)</f>
        <v>3</v>
      </c>
    </row>
    <row r="726" customFormat="false" ht="15" hidden="false" customHeight="false" outlineLevel="0" collapsed="false">
      <c r="A726" s="42"/>
      <c r="B726" s="42"/>
      <c r="C726" s="44" t="s">
        <v>14</v>
      </c>
      <c r="D726" s="9" t="n">
        <v>0.2</v>
      </c>
      <c r="E726" s="9" t="n">
        <v>0.1</v>
      </c>
      <c r="F726" s="9" t="n">
        <v>0.1</v>
      </c>
      <c r="G726" s="9" t="n">
        <v>0.1</v>
      </c>
      <c r="H726" s="9" t="n">
        <v>0.1</v>
      </c>
      <c r="I726" s="9" t="n">
        <v>0.3</v>
      </c>
      <c r="J726" s="9" t="n">
        <v>1.1</v>
      </c>
      <c r="K726" s="10" t="n">
        <f aca="false">SUM(D726:J726)</f>
        <v>2</v>
      </c>
    </row>
    <row r="727" customFormat="false" ht="15" hidden="false" customHeight="false" outlineLevel="0" collapsed="false">
      <c r="A727" s="42"/>
      <c r="B727" s="42"/>
      <c r="C727" s="11" t="s">
        <v>41</v>
      </c>
      <c r="D727" s="14" t="n">
        <f aca="false">IFERROR((D726-D725)/D725,0)</f>
        <v>-0.8</v>
      </c>
      <c r="E727" s="14" t="n">
        <f aca="false">IFERROR((E726-E725)/E725,0)</f>
        <v>0</v>
      </c>
      <c r="F727" s="14" t="n">
        <f aca="false">IFERROR((F726-F725)/F725,0)</f>
        <v>0</v>
      </c>
      <c r="G727" s="14" t="n">
        <f aca="false">IFERROR((G726-G725)/G725,0)</f>
        <v>-0.95</v>
      </c>
      <c r="H727" s="14" t="n">
        <f aca="false">IFERROR((H726-H725)/H725,0)</f>
        <v>0</v>
      </c>
      <c r="I727" s="14" t="n">
        <f aca="false">IFERROR((I726-I725)/I725,0)</f>
        <v>0</v>
      </c>
      <c r="J727" s="14" t="n">
        <f aca="false">IFERROR((J726-J725)/J725,0)</f>
        <v>0</v>
      </c>
      <c r="K727" s="15" t="n">
        <f aca="false">IFERROR((SUM(D726:J726)-SUM(D725:J725))/SUM(D725:J725),0)</f>
        <v>-0.333333333333333</v>
      </c>
    </row>
    <row r="728" customFormat="false" ht="15" hidden="false" customHeight="true" outlineLevel="0" collapsed="false">
      <c r="A728" s="42" t="s">
        <v>588</v>
      </c>
      <c r="B728" s="43" t="s">
        <v>589</v>
      </c>
      <c r="C728" s="5" t="s">
        <v>26</v>
      </c>
      <c r="D728" s="6" t="n">
        <v>2</v>
      </c>
      <c r="E728" s="6" t="n">
        <v>1</v>
      </c>
      <c r="F728" s="6" t="n">
        <v>0</v>
      </c>
      <c r="G728" s="6" t="n">
        <v>0</v>
      </c>
      <c r="H728" s="6" t="n">
        <v>0</v>
      </c>
      <c r="I728" s="6" t="n">
        <v>0</v>
      </c>
      <c r="J728" s="6" t="n">
        <v>0</v>
      </c>
      <c r="K728" s="7" t="n">
        <f aca="false">SUM(D728:J728)</f>
        <v>3</v>
      </c>
    </row>
    <row r="729" customFormat="false" ht="15" hidden="false" customHeight="false" outlineLevel="0" collapsed="false">
      <c r="A729" s="42"/>
      <c r="B729" s="42"/>
      <c r="C729" s="44" t="s">
        <v>14</v>
      </c>
      <c r="D729" s="9" t="n">
        <v>0.1</v>
      </c>
      <c r="E729" s="9" t="n">
        <v>1.2</v>
      </c>
      <c r="F729" s="9" t="n">
        <v>0.3</v>
      </c>
      <c r="G729" s="9" t="n">
        <v>0.2</v>
      </c>
      <c r="H729" s="9" t="n">
        <v>0.2</v>
      </c>
      <c r="I729" s="9" t="n">
        <v>0.2</v>
      </c>
      <c r="J729" s="9" t="n">
        <v>0.1</v>
      </c>
      <c r="K729" s="10" t="n">
        <f aca="false">SUM(D729:J729)</f>
        <v>2.3</v>
      </c>
    </row>
    <row r="730" customFormat="false" ht="15" hidden="false" customHeight="false" outlineLevel="0" collapsed="false">
      <c r="A730" s="42"/>
      <c r="B730" s="42"/>
      <c r="C730" s="11" t="s">
        <v>41</v>
      </c>
      <c r="D730" s="14" t="n">
        <f aca="false">IFERROR((D729-D728)/D728,0)</f>
        <v>-0.95</v>
      </c>
      <c r="E730" s="14" t="n">
        <f aca="false">IFERROR((E729-E728)/E728,0)</f>
        <v>0.2</v>
      </c>
      <c r="F730" s="14" t="n">
        <f aca="false">IFERROR((F729-F728)/F728,0)</f>
        <v>0</v>
      </c>
      <c r="G730" s="14" t="n">
        <f aca="false">IFERROR((G729-G728)/G728,0)</f>
        <v>0</v>
      </c>
      <c r="H730" s="14" t="n">
        <f aca="false">IFERROR((H729-H728)/H728,0)</f>
        <v>0</v>
      </c>
      <c r="I730" s="14" t="n">
        <f aca="false">IFERROR((I729-I728)/I728,0)</f>
        <v>0</v>
      </c>
      <c r="J730" s="14" t="n">
        <f aca="false">IFERROR((J729-J728)/J728,0)</f>
        <v>0</v>
      </c>
      <c r="K730" s="15" t="n">
        <f aca="false">IFERROR((SUM(D729:J729)-SUM(D728:J728))/SUM(D728:J728),0)</f>
        <v>-0.233333333333333</v>
      </c>
    </row>
    <row r="731" customFormat="false" ht="15" hidden="false" customHeight="true" outlineLevel="0" collapsed="false">
      <c r="A731" s="42" t="s">
        <v>590</v>
      </c>
      <c r="B731" s="43" t="s">
        <v>591</v>
      </c>
      <c r="C731" s="5" t="s">
        <v>26</v>
      </c>
      <c r="D731" s="6" t="n">
        <v>1</v>
      </c>
      <c r="E731" s="6" t="n">
        <v>0</v>
      </c>
      <c r="F731" s="6" t="n">
        <v>0</v>
      </c>
      <c r="G731" s="6" t="n">
        <v>0</v>
      </c>
      <c r="H731" s="6" t="n">
        <v>1</v>
      </c>
      <c r="I731" s="6" t="n">
        <v>1</v>
      </c>
      <c r="J731" s="6" t="n">
        <v>0</v>
      </c>
      <c r="K731" s="7" t="n">
        <f aca="false">SUM(D731:J731)</f>
        <v>3</v>
      </c>
    </row>
    <row r="732" customFormat="false" ht="15" hidden="false" customHeight="false" outlineLevel="0" collapsed="false">
      <c r="A732" s="42"/>
      <c r="B732" s="42"/>
      <c r="C732" s="44" t="s">
        <v>14</v>
      </c>
      <c r="D732" s="9" t="n">
        <v>0.6</v>
      </c>
      <c r="E732" s="9" t="n">
        <v>0.4</v>
      </c>
      <c r="F732" s="9" t="n">
        <v>0.3</v>
      </c>
      <c r="G732" s="9" t="n">
        <v>0.5</v>
      </c>
      <c r="H732" s="9" t="n">
        <v>1.6</v>
      </c>
      <c r="I732" s="9" t="n">
        <v>2.3</v>
      </c>
      <c r="J732" s="9" t="n">
        <v>0.3</v>
      </c>
      <c r="K732" s="10" t="n">
        <f aca="false">SUM(D732:J732)</f>
        <v>6</v>
      </c>
    </row>
    <row r="733" customFormat="false" ht="15" hidden="false" customHeight="false" outlineLevel="0" collapsed="false">
      <c r="A733" s="42"/>
      <c r="B733" s="42"/>
      <c r="C733" s="11" t="s">
        <v>41</v>
      </c>
      <c r="D733" s="14" t="n">
        <f aca="false">IFERROR((D732-D731)/D731,0)</f>
        <v>-0.4</v>
      </c>
      <c r="E733" s="14" t="n">
        <f aca="false">IFERROR((E732-E731)/E731,0)</f>
        <v>0</v>
      </c>
      <c r="F733" s="14" t="n">
        <f aca="false">IFERROR((F732-F731)/F731,0)</f>
        <v>0</v>
      </c>
      <c r="G733" s="14" t="n">
        <f aca="false">IFERROR((G732-G731)/G731,0)</f>
        <v>0</v>
      </c>
      <c r="H733" s="14" t="n">
        <f aca="false">IFERROR((H732-H731)/H731,0)</f>
        <v>0.6</v>
      </c>
      <c r="I733" s="14" t="n">
        <f aca="false">IFERROR((I732-I731)/I731,0)</f>
        <v>1.3</v>
      </c>
      <c r="J733" s="14" t="n">
        <f aca="false">IFERROR((J732-J731)/J731,0)</f>
        <v>0</v>
      </c>
      <c r="K733" s="15" t="n">
        <f aca="false">IFERROR((SUM(D732:J732)-SUM(D731:J731))/SUM(D731:J731),0)</f>
        <v>1</v>
      </c>
    </row>
    <row r="734" customFormat="false" ht="15" hidden="false" customHeight="true" outlineLevel="0" collapsed="false">
      <c r="A734" s="42" t="s">
        <v>592</v>
      </c>
      <c r="B734" s="43" t="s">
        <v>593</v>
      </c>
      <c r="C734" s="5" t="s">
        <v>26</v>
      </c>
      <c r="D734" s="6" t="n">
        <v>0</v>
      </c>
      <c r="E734" s="6" t="n">
        <v>1</v>
      </c>
      <c r="F734" s="6" t="n">
        <v>1</v>
      </c>
      <c r="G734" s="6" t="n">
        <v>1</v>
      </c>
      <c r="H734" s="6" t="n">
        <v>0</v>
      </c>
      <c r="I734" s="6" t="n">
        <v>0</v>
      </c>
      <c r="J734" s="6" t="n">
        <v>0</v>
      </c>
      <c r="K734" s="7" t="n">
        <f aca="false">SUM(D734:J734)</f>
        <v>3</v>
      </c>
    </row>
    <row r="735" customFormat="false" ht="15" hidden="false" customHeight="false" outlineLevel="0" collapsed="false">
      <c r="A735" s="42"/>
      <c r="B735" s="42"/>
      <c r="C735" s="44" t="s">
        <v>14</v>
      </c>
      <c r="D735" s="9" t="n">
        <v>0.3</v>
      </c>
      <c r="E735" s="9" t="n">
        <v>1</v>
      </c>
      <c r="F735" s="9" t="n">
        <v>0.6</v>
      </c>
      <c r="G735" s="9" t="n">
        <v>1.3</v>
      </c>
      <c r="H735" s="9" t="n">
        <v>0.2</v>
      </c>
      <c r="I735" s="9" t="n">
        <v>0.2</v>
      </c>
      <c r="J735" s="9" t="n">
        <v>0.2</v>
      </c>
      <c r="K735" s="10" t="n">
        <f aca="false">SUM(D735:J735)</f>
        <v>3.8</v>
      </c>
    </row>
    <row r="736" customFormat="false" ht="15" hidden="false" customHeight="false" outlineLevel="0" collapsed="false">
      <c r="A736" s="42"/>
      <c r="B736" s="42"/>
      <c r="C736" s="11" t="s">
        <v>41</v>
      </c>
      <c r="D736" s="14" t="n">
        <f aca="false">IFERROR((D735-D734)/D734,0)</f>
        <v>0</v>
      </c>
      <c r="E736" s="14" t="n">
        <f aca="false">IFERROR((E735-E734)/E734,0)</f>
        <v>0</v>
      </c>
      <c r="F736" s="14" t="n">
        <f aca="false">IFERROR((F735-F734)/F734,0)</f>
        <v>-0.4</v>
      </c>
      <c r="G736" s="14" t="n">
        <f aca="false">IFERROR((G735-G734)/G734,0)</f>
        <v>0.3</v>
      </c>
      <c r="H736" s="14" t="n">
        <f aca="false">IFERROR((H735-H734)/H734,0)</f>
        <v>0</v>
      </c>
      <c r="I736" s="14" t="n">
        <f aca="false">IFERROR((I735-I734)/I734,0)</f>
        <v>0</v>
      </c>
      <c r="J736" s="14" t="n">
        <f aca="false">IFERROR((J735-J734)/J734,0)</f>
        <v>0</v>
      </c>
      <c r="K736" s="15" t="n">
        <f aca="false">IFERROR((SUM(D735:J735)-SUM(D734:J734))/SUM(D734:J734),0)</f>
        <v>0.266666666666667</v>
      </c>
    </row>
    <row r="737" customFormat="false" ht="15" hidden="false" customHeight="true" outlineLevel="0" collapsed="false">
      <c r="A737" s="42" t="s">
        <v>594</v>
      </c>
      <c r="B737" s="43" t="s">
        <v>595</v>
      </c>
      <c r="C737" s="5" t="s">
        <v>26</v>
      </c>
      <c r="D737" s="6" t="n">
        <v>2</v>
      </c>
      <c r="E737" s="6" t="n">
        <v>0</v>
      </c>
      <c r="F737" s="6" t="n">
        <v>0</v>
      </c>
      <c r="G737" s="6" t="n">
        <v>1</v>
      </c>
      <c r="H737" s="6" t="n">
        <v>0</v>
      </c>
      <c r="I737" s="6" t="n">
        <v>0</v>
      </c>
      <c r="J737" s="6" t="n">
        <v>0</v>
      </c>
      <c r="K737" s="7" t="n">
        <f aca="false">SUM(D737:J737)</f>
        <v>3</v>
      </c>
    </row>
    <row r="738" customFormat="false" ht="15" hidden="false" customHeight="false" outlineLevel="0" collapsed="false">
      <c r="A738" s="42"/>
      <c r="B738" s="42"/>
      <c r="C738" s="44" t="s">
        <v>14</v>
      </c>
      <c r="D738" s="9" t="n">
        <v>0.2</v>
      </c>
      <c r="E738" s="9" t="n">
        <v>0</v>
      </c>
      <c r="F738" s="9" t="n">
        <v>0</v>
      </c>
      <c r="G738" s="9" t="n">
        <v>1</v>
      </c>
      <c r="H738" s="9" t="n">
        <v>0</v>
      </c>
      <c r="I738" s="9" t="n">
        <v>0</v>
      </c>
      <c r="J738" s="9" t="n">
        <v>0</v>
      </c>
      <c r="K738" s="10" t="n">
        <f aca="false">SUM(D738:J738)</f>
        <v>1.2</v>
      </c>
    </row>
    <row r="739" customFormat="false" ht="15" hidden="false" customHeight="false" outlineLevel="0" collapsed="false">
      <c r="A739" s="42"/>
      <c r="B739" s="42"/>
      <c r="C739" s="11" t="s">
        <v>41</v>
      </c>
      <c r="D739" s="14" t="n">
        <f aca="false">IFERROR((D738-D737)/D737,0)</f>
        <v>-0.9</v>
      </c>
      <c r="E739" s="14" t="n">
        <f aca="false">IFERROR((E738-E737)/E737,0)</f>
        <v>0</v>
      </c>
      <c r="F739" s="14" t="n">
        <f aca="false">IFERROR((F738-F737)/F737,0)</f>
        <v>0</v>
      </c>
      <c r="G739" s="14" t="n">
        <f aca="false">IFERROR((G738-G737)/G737,0)</f>
        <v>0</v>
      </c>
      <c r="H739" s="14" t="n">
        <f aca="false">IFERROR((H738-H737)/H737,0)</f>
        <v>0</v>
      </c>
      <c r="I739" s="14" t="n">
        <f aca="false">IFERROR((I738-I737)/I737,0)</f>
        <v>0</v>
      </c>
      <c r="J739" s="14" t="n">
        <f aca="false">IFERROR((J738-J737)/J737,0)</f>
        <v>0</v>
      </c>
      <c r="K739" s="15" t="n">
        <f aca="false">IFERROR((SUM(D738:J738)-SUM(D737:J737))/SUM(D737:J737),0)</f>
        <v>-0.6</v>
      </c>
    </row>
    <row r="740" customFormat="false" ht="15" hidden="false" customHeight="true" outlineLevel="0" collapsed="false">
      <c r="A740" s="42" t="s">
        <v>596</v>
      </c>
      <c r="B740" s="43" t="s">
        <v>597</v>
      </c>
      <c r="C740" s="5" t="s">
        <v>26</v>
      </c>
      <c r="D740" s="6" t="n">
        <v>1</v>
      </c>
      <c r="E740" s="6" t="n">
        <v>0</v>
      </c>
      <c r="F740" s="6" t="n">
        <v>0</v>
      </c>
      <c r="G740" s="6" t="n">
        <v>0</v>
      </c>
      <c r="H740" s="6" t="n">
        <v>0</v>
      </c>
      <c r="I740" s="6" t="n">
        <v>1</v>
      </c>
      <c r="J740" s="6" t="n">
        <v>0</v>
      </c>
      <c r="K740" s="7" t="n">
        <f aca="false">SUM(D740:J740)</f>
        <v>2</v>
      </c>
    </row>
    <row r="741" customFormat="false" ht="15" hidden="false" customHeight="false" outlineLevel="0" collapsed="false">
      <c r="A741" s="42"/>
      <c r="B741" s="42"/>
      <c r="C741" s="44" t="s">
        <v>14</v>
      </c>
      <c r="D741" s="9" t="n">
        <v>0.2</v>
      </c>
      <c r="E741" s="9" t="n">
        <v>0</v>
      </c>
      <c r="F741" s="9" t="n">
        <v>0.1</v>
      </c>
      <c r="G741" s="9" t="n">
        <v>0.2</v>
      </c>
      <c r="H741" s="9" t="n">
        <v>0.1</v>
      </c>
      <c r="I741" s="9" t="n">
        <v>1.2</v>
      </c>
      <c r="J741" s="9" t="n">
        <v>0</v>
      </c>
      <c r="K741" s="10" t="n">
        <f aca="false">SUM(D741:J741)</f>
        <v>1.8</v>
      </c>
    </row>
    <row r="742" customFormat="false" ht="15" hidden="false" customHeight="false" outlineLevel="0" collapsed="false">
      <c r="A742" s="42"/>
      <c r="B742" s="42"/>
      <c r="C742" s="11" t="s">
        <v>41</v>
      </c>
      <c r="D742" s="14" t="n">
        <f aca="false">IFERROR((D741-D740)/D740,0)</f>
        <v>-0.8</v>
      </c>
      <c r="E742" s="14" t="n">
        <f aca="false">IFERROR((E741-E740)/E740,0)</f>
        <v>0</v>
      </c>
      <c r="F742" s="14" t="n">
        <f aca="false">IFERROR((F741-F740)/F740,0)</f>
        <v>0</v>
      </c>
      <c r="G742" s="14" t="n">
        <f aca="false">IFERROR((G741-G740)/G740,0)</f>
        <v>0</v>
      </c>
      <c r="H742" s="14" t="n">
        <f aca="false">IFERROR((H741-H740)/H740,0)</f>
        <v>0</v>
      </c>
      <c r="I742" s="14" t="n">
        <f aca="false">IFERROR((I741-I740)/I740,0)</f>
        <v>0.2</v>
      </c>
      <c r="J742" s="14" t="n">
        <f aca="false">IFERROR((J741-J740)/J740,0)</f>
        <v>0</v>
      </c>
      <c r="K742" s="15" t="n">
        <f aca="false">IFERROR((SUM(D741:J741)-SUM(D740:J740))/SUM(D740:J740),0)</f>
        <v>-0.1</v>
      </c>
    </row>
    <row r="743" customFormat="false" ht="15" hidden="false" customHeight="true" outlineLevel="0" collapsed="false">
      <c r="A743" s="42" t="s">
        <v>598</v>
      </c>
      <c r="B743" s="43" t="s">
        <v>599</v>
      </c>
      <c r="C743" s="5" t="s">
        <v>26</v>
      </c>
      <c r="D743" s="6" t="n">
        <v>2</v>
      </c>
      <c r="E743" s="6" t="n">
        <v>0</v>
      </c>
      <c r="F743" s="6" t="n">
        <v>0</v>
      </c>
      <c r="G743" s="6" t="n">
        <v>0</v>
      </c>
      <c r="H743" s="6" t="n">
        <v>0</v>
      </c>
      <c r="I743" s="6" t="n">
        <v>0</v>
      </c>
      <c r="J743" s="6" t="n">
        <v>0</v>
      </c>
      <c r="K743" s="7" t="n">
        <f aca="false">SUM(D743:J743)</f>
        <v>2</v>
      </c>
    </row>
    <row r="744" customFormat="false" ht="15" hidden="false" customHeight="false" outlineLevel="0" collapsed="false">
      <c r="A744" s="42"/>
      <c r="B744" s="42"/>
      <c r="C744" s="44" t="s">
        <v>14</v>
      </c>
      <c r="D744" s="9" t="n">
        <v>1.7</v>
      </c>
      <c r="E744" s="9" t="n">
        <v>0.1</v>
      </c>
      <c r="F744" s="9" t="n">
        <v>0.1</v>
      </c>
      <c r="G744" s="9" t="n">
        <v>0.1</v>
      </c>
      <c r="H744" s="9" t="n">
        <v>0.1</v>
      </c>
      <c r="I744" s="9" t="n">
        <v>0.1</v>
      </c>
      <c r="J744" s="9" t="n">
        <v>0</v>
      </c>
      <c r="K744" s="10" t="n">
        <f aca="false">SUM(D744:J744)</f>
        <v>2.2</v>
      </c>
    </row>
    <row r="745" customFormat="false" ht="15" hidden="false" customHeight="false" outlineLevel="0" collapsed="false">
      <c r="A745" s="42"/>
      <c r="B745" s="42"/>
      <c r="C745" s="11" t="s">
        <v>41</v>
      </c>
      <c r="D745" s="14" t="n">
        <f aca="false">IFERROR((D744-D743)/D743,0)</f>
        <v>-0.15</v>
      </c>
      <c r="E745" s="14" t="n">
        <f aca="false">IFERROR((E744-E743)/E743,0)</f>
        <v>0</v>
      </c>
      <c r="F745" s="14" t="n">
        <f aca="false">IFERROR((F744-F743)/F743,0)</f>
        <v>0</v>
      </c>
      <c r="G745" s="14" t="n">
        <f aca="false">IFERROR((G744-G743)/G743,0)</f>
        <v>0</v>
      </c>
      <c r="H745" s="14" t="n">
        <f aca="false">IFERROR((H744-H743)/H743,0)</f>
        <v>0</v>
      </c>
      <c r="I745" s="14" t="n">
        <f aca="false">IFERROR((I744-I743)/I743,0)</f>
        <v>0</v>
      </c>
      <c r="J745" s="14" t="n">
        <f aca="false">IFERROR((J744-J743)/J743,0)</f>
        <v>0</v>
      </c>
      <c r="K745" s="15" t="n">
        <f aca="false">IFERROR((SUM(D744:J744)-SUM(D743:J743))/SUM(D743:J743),0)</f>
        <v>0.1</v>
      </c>
    </row>
    <row r="746" customFormat="false" ht="15" hidden="false" customHeight="true" outlineLevel="0" collapsed="false">
      <c r="A746" s="42" t="s">
        <v>600</v>
      </c>
      <c r="B746" s="43" t="s">
        <v>601</v>
      </c>
      <c r="C746" s="5" t="s">
        <v>26</v>
      </c>
      <c r="D746" s="6" t="n">
        <v>0</v>
      </c>
      <c r="E746" s="6" t="n">
        <v>0</v>
      </c>
      <c r="F746" s="6" t="n">
        <v>0</v>
      </c>
      <c r="G746" s="6" t="n">
        <v>1</v>
      </c>
      <c r="H746" s="6" t="n">
        <v>0</v>
      </c>
      <c r="I746" s="6" t="n">
        <v>1</v>
      </c>
      <c r="J746" s="6" t="n">
        <v>0</v>
      </c>
      <c r="K746" s="7" t="n">
        <f aca="false">SUM(D746:J746)</f>
        <v>2</v>
      </c>
    </row>
    <row r="747" customFormat="false" ht="15" hidden="false" customHeight="false" outlineLevel="0" collapsed="false">
      <c r="A747" s="42"/>
      <c r="B747" s="42"/>
      <c r="C747" s="44" t="s">
        <v>14</v>
      </c>
      <c r="D747" s="9" t="n">
        <v>0</v>
      </c>
      <c r="E747" s="9" t="n">
        <v>0</v>
      </c>
      <c r="F747" s="9" t="n">
        <v>0</v>
      </c>
      <c r="G747" s="9" t="n">
        <v>1</v>
      </c>
      <c r="H747" s="9" t="n">
        <v>0.1</v>
      </c>
      <c r="I747" s="9" t="n">
        <v>1.3</v>
      </c>
      <c r="J747" s="9" t="n">
        <v>0.1</v>
      </c>
      <c r="K747" s="10" t="n">
        <f aca="false">SUM(D747:J747)</f>
        <v>2.5</v>
      </c>
    </row>
    <row r="748" customFormat="false" ht="15" hidden="false" customHeight="false" outlineLevel="0" collapsed="false">
      <c r="A748" s="42"/>
      <c r="B748" s="42"/>
      <c r="C748" s="11" t="s">
        <v>41</v>
      </c>
      <c r="D748" s="14" t="n">
        <f aca="false">IFERROR((D747-D746)/D746,0)</f>
        <v>0</v>
      </c>
      <c r="E748" s="14" t="n">
        <f aca="false">IFERROR((E747-E746)/E746,0)</f>
        <v>0</v>
      </c>
      <c r="F748" s="14" t="n">
        <f aca="false">IFERROR((F747-F746)/F746,0)</f>
        <v>0</v>
      </c>
      <c r="G748" s="14" t="n">
        <f aca="false">IFERROR((G747-G746)/G746,0)</f>
        <v>0</v>
      </c>
      <c r="H748" s="14" t="n">
        <f aca="false">IFERROR((H747-H746)/H746,0)</f>
        <v>0</v>
      </c>
      <c r="I748" s="14" t="n">
        <f aca="false">IFERROR((I747-I746)/I746,0)</f>
        <v>0.3</v>
      </c>
      <c r="J748" s="14" t="n">
        <f aca="false">IFERROR((J747-J746)/J746,0)</f>
        <v>0</v>
      </c>
      <c r="K748" s="15" t="n">
        <f aca="false">IFERROR((SUM(D747:J747)-SUM(D746:J746))/SUM(D746:J746),0)</f>
        <v>0.25</v>
      </c>
    </row>
    <row r="749" customFormat="false" ht="15" hidden="false" customHeight="true" outlineLevel="0" collapsed="false">
      <c r="A749" s="42" t="s">
        <v>602</v>
      </c>
      <c r="B749" s="43" t="s">
        <v>603</v>
      </c>
      <c r="C749" s="5" t="s">
        <v>26</v>
      </c>
      <c r="D749" s="6" t="n">
        <v>1</v>
      </c>
      <c r="E749" s="6" t="n">
        <v>0</v>
      </c>
      <c r="F749" s="6" t="n">
        <v>1</v>
      </c>
      <c r="G749" s="6" t="n">
        <v>0</v>
      </c>
      <c r="H749" s="6" t="n">
        <v>0</v>
      </c>
      <c r="I749" s="6" t="n">
        <v>0</v>
      </c>
      <c r="J749" s="6" t="n">
        <v>0</v>
      </c>
      <c r="K749" s="7" t="n">
        <f aca="false">SUM(D749:J749)</f>
        <v>2</v>
      </c>
    </row>
    <row r="750" customFormat="false" ht="15" hidden="false" customHeight="false" outlineLevel="0" collapsed="false">
      <c r="A750" s="42"/>
      <c r="B750" s="42"/>
      <c r="C750" s="44" t="s">
        <v>14</v>
      </c>
      <c r="D750" s="9" t="n">
        <v>0.7</v>
      </c>
      <c r="E750" s="9" t="n">
        <v>0</v>
      </c>
      <c r="F750" s="9" t="n">
        <v>0.7</v>
      </c>
      <c r="G750" s="9" t="n">
        <v>0</v>
      </c>
      <c r="H750" s="9" t="n">
        <v>0</v>
      </c>
      <c r="I750" s="9" t="n">
        <v>0</v>
      </c>
      <c r="J750" s="9" t="n">
        <v>0</v>
      </c>
      <c r="K750" s="10" t="n">
        <f aca="false">SUM(D750:J750)</f>
        <v>1.4</v>
      </c>
    </row>
    <row r="751" customFormat="false" ht="15" hidden="false" customHeight="false" outlineLevel="0" collapsed="false">
      <c r="A751" s="42"/>
      <c r="B751" s="42"/>
      <c r="C751" s="11" t="s">
        <v>41</v>
      </c>
      <c r="D751" s="14" t="n">
        <f aca="false">IFERROR((D750-D749)/D749,0)</f>
        <v>-0.3</v>
      </c>
      <c r="E751" s="14" t="n">
        <f aca="false">IFERROR((E750-E749)/E749,0)</f>
        <v>0</v>
      </c>
      <c r="F751" s="14" t="n">
        <f aca="false">IFERROR((F750-F749)/F749,0)</f>
        <v>-0.3</v>
      </c>
      <c r="G751" s="14" t="n">
        <f aca="false">IFERROR((G750-G749)/G749,0)</f>
        <v>0</v>
      </c>
      <c r="H751" s="14" t="n">
        <f aca="false">IFERROR((H750-H749)/H749,0)</f>
        <v>0</v>
      </c>
      <c r="I751" s="14" t="n">
        <f aca="false">IFERROR((I750-I749)/I749,0)</f>
        <v>0</v>
      </c>
      <c r="J751" s="14" t="n">
        <f aca="false">IFERROR((J750-J749)/J749,0)</f>
        <v>0</v>
      </c>
      <c r="K751" s="15" t="n">
        <f aca="false">IFERROR((SUM(D750:J750)-SUM(D749:J749))/SUM(D749:J749),0)</f>
        <v>-0.3</v>
      </c>
    </row>
    <row r="752" customFormat="false" ht="15" hidden="false" customHeight="true" outlineLevel="0" collapsed="false">
      <c r="A752" s="42" t="s">
        <v>604</v>
      </c>
      <c r="B752" s="43" t="s">
        <v>605</v>
      </c>
      <c r="C752" s="5" t="s">
        <v>26</v>
      </c>
      <c r="D752" s="6" t="n">
        <v>1</v>
      </c>
      <c r="E752" s="6" t="n">
        <v>0</v>
      </c>
      <c r="F752" s="6" t="n">
        <v>0</v>
      </c>
      <c r="G752" s="6" t="n">
        <v>0</v>
      </c>
      <c r="H752" s="6" t="n">
        <v>1</v>
      </c>
      <c r="I752" s="6" t="n">
        <v>0</v>
      </c>
      <c r="J752" s="6" t="n">
        <v>0</v>
      </c>
      <c r="K752" s="7" t="n">
        <f aca="false">SUM(D752:J752)</f>
        <v>2</v>
      </c>
    </row>
    <row r="753" customFormat="false" ht="15" hidden="false" customHeight="false" outlineLevel="0" collapsed="false">
      <c r="A753" s="42"/>
      <c r="B753" s="42"/>
      <c r="C753" s="44" t="s">
        <v>14</v>
      </c>
      <c r="D753" s="9" t="n">
        <v>0.2</v>
      </c>
      <c r="E753" s="9" t="n">
        <v>0</v>
      </c>
      <c r="F753" s="9" t="n">
        <v>0.2</v>
      </c>
      <c r="G753" s="9" t="n">
        <v>0.2</v>
      </c>
      <c r="H753" s="9" t="n">
        <v>0.2</v>
      </c>
      <c r="I753" s="9" t="n">
        <v>0.2</v>
      </c>
      <c r="J753" s="9" t="n">
        <v>0.9</v>
      </c>
      <c r="K753" s="10" t="n">
        <f aca="false">SUM(D753:J753)</f>
        <v>1.9</v>
      </c>
    </row>
    <row r="754" customFormat="false" ht="15" hidden="false" customHeight="false" outlineLevel="0" collapsed="false">
      <c r="A754" s="42"/>
      <c r="B754" s="42"/>
      <c r="C754" s="11" t="s">
        <v>41</v>
      </c>
      <c r="D754" s="14" t="n">
        <f aca="false">IFERROR((D753-D752)/D752,0)</f>
        <v>-0.8</v>
      </c>
      <c r="E754" s="14" t="n">
        <f aca="false">IFERROR((E753-E752)/E752,0)</f>
        <v>0</v>
      </c>
      <c r="F754" s="14" t="n">
        <f aca="false">IFERROR((F753-F752)/F752,0)</f>
        <v>0</v>
      </c>
      <c r="G754" s="14" t="n">
        <f aca="false">IFERROR((G753-G752)/G752,0)</f>
        <v>0</v>
      </c>
      <c r="H754" s="14" t="n">
        <f aca="false">IFERROR((H753-H752)/H752,0)</f>
        <v>-0.8</v>
      </c>
      <c r="I754" s="14" t="n">
        <f aca="false">IFERROR((I753-I752)/I752,0)</f>
        <v>0</v>
      </c>
      <c r="J754" s="14" t="n">
        <f aca="false">IFERROR((J753-J752)/J752,0)</f>
        <v>0</v>
      </c>
      <c r="K754" s="15" t="n">
        <f aca="false">IFERROR((SUM(D753:J753)-SUM(D752:J752))/SUM(D752:J752),0)</f>
        <v>-0.05</v>
      </c>
    </row>
    <row r="755" customFormat="false" ht="15" hidden="false" customHeight="true" outlineLevel="0" collapsed="false">
      <c r="A755" s="42" t="s">
        <v>606</v>
      </c>
      <c r="B755" s="43" t="s">
        <v>607</v>
      </c>
      <c r="C755" s="5" t="s">
        <v>26</v>
      </c>
      <c r="D755" s="6" t="n">
        <v>0</v>
      </c>
      <c r="E755" s="6" t="n">
        <v>1</v>
      </c>
      <c r="F755" s="6" t="n">
        <v>0</v>
      </c>
      <c r="G755" s="6" t="n">
        <v>0</v>
      </c>
      <c r="H755" s="6" t="n">
        <v>1</v>
      </c>
      <c r="I755" s="6" t="n">
        <v>0</v>
      </c>
      <c r="J755" s="6" t="n">
        <v>0</v>
      </c>
      <c r="K755" s="7" t="n">
        <f aca="false">SUM(D755:J755)</f>
        <v>2</v>
      </c>
    </row>
    <row r="756" customFormat="false" ht="15" hidden="false" customHeight="false" outlineLevel="0" collapsed="false">
      <c r="A756" s="42"/>
      <c r="B756" s="42"/>
      <c r="C756" s="44" t="s">
        <v>14</v>
      </c>
      <c r="D756" s="9" t="n">
        <v>0</v>
      </c>
      <c r="E756" s="9" t="n">
        <v>0.9</v>
      </c>
      <c r="F756" s="9" t="n">
        <v>0</v>
      </c>
      <c r="G756" s="9" t="n">
        <v>0</v>
      </c>
      <c r="H756" s="9" t="n">
        <v>0.9</v>
      </c>
      <c r="I756" s="9" t="n">
        <v>0.1</v>
      </c>
      <c r="J756" s="9" t="n">
        <v>0.1</v>
      </c>
      <c r="K756" s="10" t="n">
        <f aca="false">SUM(D756:J756)</f>
        <v>2</v>
      </c>
    </row>
    <row r="757" customFormat="false" ht="15" hidden="false" customHeight="false" outlineLevel="0" collapsed="false">
      <c r="A757" s="42"/>
      <c r="B757" s="42"/>
      <c r="C757" s="11" t="s">
        <v>41</v>
      </c>
      <c r="D757" s="14" t="n">
        <f aca="false">IFERROR((D756-D755)/D755,0)</f>
        <v>0</v>
      </c>
      <c r="E757" s="14" t="n">
        <f aca="false">IFERROR((E756-E755)/E755,0)</f>
        <v>-0.1</v>
      </c>
      <c r="F757" s="14" t="n">
        <f aca="false">IFERROR((F756-F755)/F755,0)</f>
        <v>0</v>
      </c>
      <c r="G757" s="14" t="n">
        <f aca="false">IFERROR((G756-G755)/G755,0)</f>
        <v>0</v>
      </c>
      <c r="H757" s="14" t="n">
        <f aca="false">IFERROR((H756-H755)/H755,0)</f>
        <v>-0.1</v>
      </c>
      <c r="I757" s="14" t="n">
        <f aca="false">IFERROR((I756-I755)/I755,0)</f>
        <v>0</v>
      </c>
      <c r="J757" s="14" t="n">
        <f aca="false">IFERROR((J756-J755)/J755,0)</f>
        <v>0</v>
      </c>
      <c r="K757" s="15" t="n">
        <f aca="false">IFERROR((SUM(D756:J756)-SUM(D755:J755))/SUM(D755:J755),0)</f>
        <v>0</v>
      </c>
    </row>
    <row r="758" customFormat="false" ht="15" hidden="false" customHeight="true" outlineLevel="0" collapsed="false">
      <c r="A758" s="42" t="s">
        <v>608</v>
      </c>
      <c r="B758" s="43" t="s">
        <v>609</v>
      </c>
      <c r="C758" s="5" t="s">
        <v>26</v>
      </c>
      <c r="D758" s="6" t="n">
        <v>0</v>
      </c>
      <c r="E758" s="6" t="n">
        <v>0</v>
      </c>
      <c r="F758" s="6" t="n">
        <v>1</v>
      </c>
      <c r="G758" s="6" t="n">
        <v>0</v>
      </c>
      <c r="H758" s="6" t="n">
        <v>0</v>
      </c>
      <c r="I758" s="6" t="n">
        <v>1</v>
      </c>
      <c r="J758" s="6" t="n">
        <v>0</v>
      </c>
      <c r="K758" s="7" t="n">
        <f aca="false">SUM(D758:J758)</f>
        <v>2</v>
      </c>
    </row>
    <row r="759" customFormat="false" ht="15" hidden="false" customHeight="false" outlineLevel="0" collapsed="false">
      <c r="A759" s="42"/>
      <c r="B759" s="42"/>
      <c r="C759" s="44" t="s">
        <v>14</v>
      </c>
      <c r="D759" s="9" t="n">
        <v>0</v>
      </c>
      <c r="E759" s="9" t="n">
        <v>0</v>
      </c>
      <c r="F759" s="9" t="n">
        <v>0.8</v>
      </c>
      <c r="G759" s="9" t="n">
        <v>0</v>
      </c>
      <c r="H759" s="9" t="n">
        <v>0</v>
      </c>
      <c r="I759" s="9" t="n">
        <v>1.2</v>
      </c>
      <c r="J759" s="9" t="n">
        <v>0</v>
      </c>
      <c r="K759" s="10" t="n">
        <f aca="false">SUM(D759:J759)</f>
        <v>2</v>
      </c>
    </row>
    <row r="760" customFormat="false" ht="15" hidden="false" customHeight="false" outlineLevel="0" collapsed="false">
      <c r="A760" s="42"/>
      <c r="B760" s="42"/>
      <c r="C760" s="11" t="s">
        <v>41</v>
      </c>
      <c r="D760" s="14" t="n">
        <f aca="false">IFERROR((D759-D758)/D758,0)</f>
        <v>0</v>
      </c>
      <c r="E760" s="14" t="n">
        <f aca="false">IFERROR((E759-E758)/E758,0)</f>
        <v>0</v>
      </c>
      <c r="F760" s="14" t="n">
        <f aca="false">IFERROR((F759-F758)/F758,0)</f>
        <v>-0.2</v>
      </c>
      <c r="G760" s="14" t="n">
        <f aca="false">IFERROR((G759-G758)/G758,0)</f>
        <v>0</v>
      </c>
      <c r="H760" s="14" t="n">
        <f aca="false">IFERROR((H759-H758)/H758,0)</f>
        <v>0</v>
      </c>
      <c r="I760" s="14" t="n">
        <f aca="false">IFERROR((I759-I758)/I758,0)</f>
        <v>0.2</v>
      </c>
      <c r="J760" s="14" t="n">
        <f aca="false">IFERROR((J759-J758)/J758,0)</f>
        <v>0</v>
      </c>
      <c r="K760" s="15" t="n">
        <f aca="false">IFERROR((SUM(D759:J759)-SUM(D758:J758))/SUM(D758:J758),0)</f>
        <v>0</v>
      </c>
    </row>
    <row r="761" customFormat="false" ht="15" hidden="false" customHeight="true" outlineLevel="0" collapsed="false">
      <c r="A761" s="42" t="s">
        <v>610</v>
      </c>
      <c r="B761" s="43" t="s">
        <v>611</v>
      </c>
      <c r="C761" s="5" t="s">
        <v>26</v>
      </c>
      <c r="D761" s="6" t="n">
        <v>0</v>
      </c>
      <c r="E761" s="6" t="n">
        <v>1</v>
      </c>
      <c r="F761" s="6" t="n">
        <v>0</v>
      </c>
      <c r="G761" s="6" t="n">
        <v>1</v>
      </c>
      <c r="H761" s="6" t="n">
        <v>0</v>
      </c>
      <c r="I761" s="6" t="n">
        <v>0</v>
      </c>
      <c r="J761" s="6" t="n">
        <v>0</v>
      </c>
      <c r="K761" s="7" t="n">
        <f aca="false">SUM(D761:J761)</f>
        <v>2</v>
      </c>
    </row>
    <row r="762" customFormat="false" ht="15" hidden="false" customHeight="false" outlineLevel="0" collapsed="false">
      <c r="A762" s="42"/>
      <c r="B762" s="42"/>
      <c r="C762" s="44" t="s">
        <v>14</v>
      </c>
      <c r="D762" s="9" t="n">
        <v>0.2</v>
      </c>
      <c r="E762" s="9" t="n">
        <v>0.2</v>
      </c>
      <c r="F762" s="9" t="n">
        <v>0.2</v>
      </c>
      <c r="G762" s="9" t="n">
        <v>0.8</v>
      </c>
      <c r="H762" s="9" t="n">
        <v>0.2</v>
      </c>
      <c r="I762" s="9" t="n">
        <v>0.3</v>
      </c>
      <c r="J762" s="9" t="n">
        <v>0.4</v>
      </c>
      <c r="K762" s="10" t="n">
        <f aca="false">SUM(D762:J762)</f>
        <v>2.3</v>
      </c>
    </row>
    <row r="763" customFormat="false" ht="15" hidden="false" customHeight="false" outlineLevel="0" collapsed="false">
      <c r="A763" s="42"/>
      <c r="B763" s="42"/>
      <c r="C763" s="11" t="s">
        <v>41</v>
      </c>
      <c r="D763" s="14" t="n">
        <f aca="false">IFERROR((D762-D761)/D761,0)</f>
        <v>0</v>
      </c>
      <c r="E763" s="14" t="n">
        <f aca="false">IFERROR((E762-E761)/E761,0)</f>
        <v>-0.8</v>
      </c>
      <c r="F763" s="14" t="n">
        <f aca="false">IFERROR((F762-F761)/F761,0)</f>
        <v>0</v>
      </c>
      <c r="G763" s="14" t="n">
        <f aca="false">IFERROR((G762-G761)/G761,0)</f>
        <v>-0.2</v>
      </c>
      <c r="H763" s="14" t="n">
        <f aca="false">IFERROR((H762-H761)/H761,0)</f>
        <v>0</v>
      </c>
      <c r="I763" s="14" t="n">
        <f aca="false">IFERROR((I762-I761)/I761,0)</f>
        <v>0</v>
      </c>
      <c r="J763" s="14" t="n">
        <f aca="false">IFERROR((J762-J761)/J761,0)</f>
        <v>0</v>
      </c>
      <c r="K763" s="15" t="n">
        <f aca="false">IFERROR((SUM(D762:J762)-SUM(D761:J761))/SUM(D761:J761),0)</f>
        <v>0.15</v>
      </c>
    </row>
    <row r="764" customFormat="false" ht="15" hidden="false" customHeight="true" outlineLevel="0" collapsed="false">
      <c r="A764" s="42" t="s">
        <v>612</v>
      </c>
      <c r="B764" s="43" t="s">
        <v>613</v>
      </c>
      <c r="C764" s="5" t="s">
        <v>26</v>
      </c>
      <c r="D764" s="6" t="n">
        <v>1</v>
      </c>
      <c r="E764" s="6" t="n">
        <v>0</v>
      </c>
      <c r="F764" s="6" t="n">
        <v>0</v>
      </c>
      <c r="G764" s="6" t="n">
        <v>0</v>
      </c>
      <c r="H764" s="6" t="n">
        <v>0</v>
      </c>
      <c r="I764" s="6" t="n">
        <v>0</v>
      </c>
      <c r="J764" s="6" t="n">
        <v>0</v>
      </c>
      <c r="K764" s="7" t="n">
        <f aca="false">SUM(D764:J764)</f>
        <v>1</v>
      </c>
    </row>
    <row r="765" customFormat="false" ht="15" hidden="false" customHeight="false" outlineLevel="0" collapsed="false">
      <c r="A765" s="42"/>
      <c r="B765" s="42"/>
      <c r="C765" s="44" t="s">
        <v>14</v>
      </c>
      <c r="D765" s="9" t="n">
        <v>1.7</v>
      </c>
      <c r="E765" s="9" t="n">
        <v>0.1</v>
      </c>
      <c r="F765" s="9" t="n">
        <v>0.1</v>
      </c>
      <c r="G765" s="9" t="n">
        <v>0.2</v>
      </c>
      <c r="H765" s="9" t="n">
        <v>0.2</v>
      </c>
      <c r="I765" s="9" t="n">
        <v>0.1</v>
      </c>
      <c r="J765" s="9" t="n">
        <v>0</v>
      </c>
      <c r="K765" s="10" t="n">
        <f aca="false">SUM(D765:J765)</f>
        <v>2.4</v>
      </c>
    </row>
    <row r="766" customFormat="false" ht="15" hidden="false" customHeight="false" outlineLevel="0" collapsed="false">
      <c r="A766" s="42"/>
      <c r="B766" s="42"/>
      <c r="C766" s="11" t="s">
        <v>41</v>
      </c>
      <c r="D766" s="14" t="n">
        <f aca="false">IFERROR((D765-D764)/D764,0)</f>
        <v>0.7</v>
      </c>
      <c r="E766" s="14" t="n">
        <f aca="false">IFERROR((E765-E764)/E764,0)</f>
        <v>0</v>
      </c>
      <c r="F766" s="14" t="n">
        <f aca="false">IFERROR((F765-F764)/F764,0)</f>
        <v>0</v>
      </c>
      <c r="G766" s="14" t="n">
        <f aca="false">IFERROR((G765-G764)/G764,0)</f>
        <v>0</v>
      </c>
      <c r="H766" s="14" t="n">
        <f aca="false">IFERROR((H765-H764)/H764,0)</f>
        <v>0</v>
      </c>
      <c r="I766" s="14" t="n">
        <f aca="false">IFERROR((I765-I764)/I764,0)</f>
        <v>0</v>
      </c>
      <c r="J766" s="14" t="n">
        <f aca="false">IFERROR((J765-J764)/J764,0)</f>
        <v>0</v>
      </c>
      <c r="K766" s="15" t="n">
        <f aca="false">IFERROR((SUM(D765:J765)-SUM(D764:J764))/SUM(D764:J764),0)</f>
        <v>1.4</v>
      </c>
    </row>
    <row r="767" customFormat="false" ht="15" hidden="false" customHeight="true" outlineLevel="0" collapsed="false">
      <c r="A767" s="42" t="s">
        <v>614</v>
      </c>
      <c r="B767" s="43" t="s">
        <v>615</v>
      </c>
      <c r="C767" s="5" t="s">
        <v>26</v>
      </c>
      <c r="D767" s="6" t="n">
        <v>0</v>
      </c>
      <c r="E767" s="6" t="n">
        <v>0</v>
      </c>
      <c r="F767" s="6" t="n">
        <v>0</v>
      </c>
      <c r="G767" s="6" t="n">
        <v>0</v>
      </c>
      <c r="H767" s="6" t="n">
        <v>0</v>
      </c>
      <c r="I767" s="6" t="n">
        <v>0</v>
      </c>
      <c r="J767" s="6" t="n">
        <v>1</v>
      </c>
      <c r="K767" s="7" t="n">
        <f aca="false">SUM(D767:J767)</f>
        <v>1</v>
      </c>
    </row>
    <row r="768" customFormat="false" ht="15" hidden="false" customHeight="false" outlineLevel="0" collapsed="false">
      <c r="A768" s="42"/>
      <c r="B768" s="42"/>
      <c r="C768" s="44" t="s">
        <v>14</v>
      </c>
      <c r="D768" s="9" t="n">
        <v>0</v>
      </c>
      <c r="E768" s="9" t="n">
        <v>0</v>
      </c>
      <c r="F768" s="9" t="n">
        <v>0</v>
      </c>
      <c r="G768" s="9" t="n">
        <v>0</v>
      </c>
      <c r="H768" s="9" t="n">
        <v>0</v>
      </c>
      <c r="I768" s="9" t="n">
        <v>0.4</v>
      </c>
      <c r="J768" s="9" t="n">
        <v>0.9</v>
      </c>
      <c r="K768" s="10" t="n">
        <f aca="false">SUM(D768:J768)</f>
        <v>1.3</v>
      </c>
    </row>
    <row r="769" customFormat="false" ht="15" hidden="false" customHeight="false" outlineLevel="0" collapsed="false">
      <c r="A769" s="42"/>
      <c r="B769" s="42"/>
      <c r="C769" s="11" t="s">
        <v>41</v>
      </c>
      <c r="D769" s="14" t="n">
        <f aca="false">IFERROR((D768-D767)/D767,0)</f>
        <v>0</v>
      </c>
      <c r="E769" s="14" t="n">
        <f aca="false">IFERROR((E768-E767)/E767,0)</f>
        <v>0</v>
      </c>
      <c r="F769" s="14" t="n">
        <f aca="false">IFERROR((F768-F767)/F767,0)</f>
        <v>0</v>
      </c>
      <c r="G769" s="14" t="n">
        <f aca="false">IFERROR((G768-G767)/G767,0)</f>
        <v>0</v>
      </c>
      <c r="H769" s="14" t="n">
        <f aca="false">IFERROR((H768-H767)/H767,0)</f>
        <v>0</v>
      </c>
      <c r="I769" s="14" t="n">
        <f aca="false">IFERROR((I768-I767)/I767,0)</f>
        <v>0</v>
      </c>
      <c r="J769" s="14" t="n">
        <f aca="false">IFERROR((J768-J767)/J767,0)</f>
        <v>-0.1</v>
      </c>
      <c r="K769" s="15" t="n">
        <f aca="false">IFERROR((SUM(D768:J768)-SUM(D767:J767))/SUM(D767:J767),0)</f>
        <v>0.3</v>
      </c>
    </row>
    <row r="770" customFormat="false" ht="15" hidden="false" customHeight="true" outlineLevel="0" collapsed="false">
      <c r="A770" s="42" t="s">
        <v>616</v>
      </c>
      <c r="B770" s="43" t="s">
        <v>617</v>
      </c>
      <c r="C770" s="5" t="s">
        <v>26</v>
      </c>
      <c r="D770" s="6" t="n">
        <v>0</v>
      </c>
      <c r="E770" s="6" t="n">
        <v>0</v>
      </c>
      <c r="F770" s="6" t="n">
        <v>0</v>
      </c>
      <c r="G770" s="6" t="n">
        <v>0</v>
      </c>
      <c r="H770" s="6" t="n">
        <v>0</v>
      </c>
      <c r="I770" s="6" t="n">
        <v>1</v>
      </c>
      <c r="J770" s="6" t="n">
        <v>0</v>
      </c>
      <c r="K770" s="7" t="n">
        <f aca="false">SUM(D770:J770)</f>
        <v>1</v>
      </c>
    </row>
    <row r="771" customFormat="false" ht="15" hidden="false" customHeight="false" outlineLevel="0" collapsed="false">
      <c r="A771" s="42"/>
      <c r="B771" s="42"/>
      <c r="C771" s="44" t="s">
        <v>14</v>
      </c>
      <c r="D771" s="9" t="n">
        <v>0</v>
      </c>
      <c r="E771" s="9" t="n">
        <v>0</v>
      </c>
      <c r="F771" s="9" t="n">
        <v>0</v>
      </c>
      <c r="G771" s="9" t="n">
        <v>0</v>
      </c>
      <c r="H771" s="9" t="n">
        <v>0</v>
      </c>
      <c r="I771" s="9" t="n">
        <v>1</v>
      </c>
      <c r="J771" s="9" t="n">
        <v>0</v>
      </c>
      <c r="K771" s="10" t="n">
        <f aca="false">SUM(D771:J771)</f>
        <v>1</v>
      </c>
    </row>
    <row r="772" customFormat="false" ht="15" hidden="false" customHeight="false" outlineLevel="0" collapsed="false">
      <c r="A772" s="42"/>
      <c r="B772" s="42"/>
      <c r="C772" s="11" t="s">
        <v>41</v>
      </c>
      <c r="D772" s="14" t="n">
        <f aca="false">IFERROR((D771-D770)/D770,0)</f>
        <v>0</v>
      </c>
      <c r="E772" s="14" t="n">
        <f aca="false">IFERROR((E771-E770)/E770,0)</f>
        <v>0</v>
      </c>
      <c r="F772" s="14" t="n">
        <f aca="false">IFERROR((F771-F770)/F770,0)</f>
        <v>0</v>
      </c>
      <c r="G772" s="14" t="n">
        <f aca="false">IFERROR((G771-G770)/G770,0)</f>
        <v>0</v>
      </c>
      <c r="H772" s="14" t="n">
        <f aca="false">IFERROR((H771-H770)/H770,0)</f>
        <v>0</v>
      </c>
      <c r="I772" s="14" t="n">
        <f aca="false">IFERROR((I771-I770)/I770,0)</f>
        <v>0</v>
      </c>
      <c r="J772" s="14" t="n">
        <f aca="false">IFERROR((J771-J770)/J770,0)</f>
        <v>0</v>
      </c>
      <c r="K772" s="15" t="n">
        <f aca="false">IFERROR((SUM(D771:J771)-SUM(D770:J770))/SUM(D770:J770),0)</f>
        <v>0</v>
      </c>
    </row>
    <row r="773" customFormat="false" ht="15" hidden="false" customHeight="true" outlineLevel="0" collapsed="false">
      <c r="A773" s="42" t="s">
        <v>618</v>
      </c>
      <c r="B773" s="43" t="s">
        <v>619</v>
      </c>
      <c r="C773" s="5" t="s">
        <v>26</v>
      </c>
      <c r="D773" s="6" t="n">
        <v>0</v>
      </c>
      <c r="E773" s="6" t="n">
        <v>0</v>
      </c>
      <c r="F773" s="6" t="n">
        <v>1</v>
      </c>
      <c r="G773" s="6" t="n">
        <v>0</v>
      </c>
      <c r="H773" s="6" t="n">
        <v>0</v>
      </c>
      <c r="I773" s="6" t="n">
        <v>0</v>
      </c>
      <c r="J773" s="6" t="n">
        <v>0</v>
      </c>
      <c r="K773" s="7" t="n">
        <f aca="false">SUM(D773:J773)</f>
        <v>1</v>
      </c>
    </row>
    <row r="774" customFormat="false" ht="15" hidden="false" customHeight="false" outlineLevel="0" collapsed="false">
      <c r="A774" s="42"/>
      <c r="B774" s="42"/>
      <c r="C774" s="44" t="s">
        <v>14</v>
      </c>
      <c r="D774" s="9" t="n">
        <v>0.7</v>
      </c>
      <c r="E774" s="9" t="n">
        <v>0.3</v>
      </c>
      <c r="F774" s="9" t="n">
        <v>2.3</v>
      </c>
      <c r="G774" s="9" t="n">
        <v>0.3</v>
      </c>
      <c r="H774" s="9" t="n">
        <v>0.4</v>
      </c>
      <c r="I774" s="9" t="n">
        <v>0.5</v>
      </c>
      <c r="J774" s="9" t="n">
        <v>0.2</v>
      </c>
      <c r="K774" s="10" t="n">
        <f aca="false">SUM(D774:J774)</f>
        <v>4.7</v>
      </c>
    </row>
    <row r="775" customFormat="false" ht="15" hidden="false" customHeight="false" outlineLevel="0" collapsed="false">
      <c r="A775" s="42"/>
      <c r="B775" s="42"/>
      <c r="C775" s="11" t="s">
        <v>41</v>
      </c>
      <c r="D775" s="14" t="n">
        <f aca="false">IFERROR((D774-D773)/D773,0)</f>
        <v>0</v>
      </c>
      <c r="E775" s="14" t="n">
        <f aca="false">IFERROR((E774-E773)/E773,0)</f>
        <v>0</v>
      </c>
      <c r="F775" s="14" t="n">
        <f aca="false">IFERROR((F774-F773)/F773,0)</f>
        <v>1.3</v>
      </c>
      <c r="G775" s="14" t="n">
        <f aca="false">IFERROR((G774-G773)/G773,0)</f>
        <v>0</v>
      </c>
      <c r="H775" s="14" t="n">
        <f aca="false">IFERROR((H774-H773)/H773,0)</f>
        <v>0</v>
      </c>
      <c r="I775" s="14" t="n">
        <f aca="false">IFERROR((I774-I773)/I773,0)</f>
        <v>0</v>
      </c>
      <c r="J775" s="14" t="n">
        <f aca="false">IFERROR((J774-J773)/J773,0)</f>
        <v>0</v>
      </c>
      <c r="K775" s="15" t="n">
        <f aca="false">IFERROR((SUM(D774:J774)-SUM(D773:J773))/SUM(D773:J773),0)</f>
        <v>3.7</v>
      </c>
    </row>
    <row r="776" customFormat="false" ht="15" hidden="false" customHeight="true" outlineLevel="0" collapsed="false">
      <c r="A776" s="42" t="s">
        <v>620</v>
      </c>
      <c r="B776" s="43" t="s">
        <v>621</v>
      </c>
      <c r="C776" s="5" t="s">
        <v>26</v>
      </c>
      <c r="D776" s="6" t="n">
        <v>1</v>
      </c>
      <c r="E776" s="6" t="n">
        <v>0</v>
      </c>
      <c r="F776" s="6" t="n">
        <v>0</v>
      </c>
      <c r="G776" s="6" t="n">
        <v>0</v>
      </c>
      <c r="H776" s="6" t="n">
        <v>0</v>
      </c>
      <c r="I776" s="6" t="n">
        <v>0</v>
      </c>
      <c r="J776" s="6" t="n">
        <v>0</v>
      </c>
      <c r="K776" s="7" t="n">
        <f aca="false">SUM(D776:J776)</f>
        <v>1</v>
      </c>
    </row>
    <row r="777" customFormat="false" ht="15" hidden="false" customHeight="false" outlineLevel="0" collapsed="false">
      <c r="A777" s="42"/>
      <c r="B777" s="42"/>
      <c r="C777" s="44" t="s">
        <v>14</v>
      </c>
      <c r="D777" s="9" t="n">
        <v>0.7</v>
      </c>
      <c r="E777" s="9" t="n">
        <v>0</v>
      </c>
      <c r="F777" s="9" t="n">
        <v>0</v>
      </c>
      <c r="G777" s="9" t="n">
        <v>0.1</v>
      </c>
      <c r="H777" s="9" t="n">
        <v>0</v>
      </c>
      <c r="I777" s="9" t="n">
        <v>0</v>
      </c>
      <c r="J777" s="9" t="n">
        <v>0</v>
      </c>
      <c r="K777" s="10" t="n">
        <f aca="false">SUM(D777:J777)</f>
        <v>0.8</v>
      </c>
    </row>
    <row r="778" customFormat="false" ht="15" hidden="false" customHeight="false" outlineLevel="0" collapsed="false">
      <c r="A778" s="42"/>
      <c r="B778" s="42"/>
      <c r="C778" s="11" t="s">
        <v>41</v>
      </c>
      <c r="D778" s="14" t="n">
        <f aca="false">IFERROR((D777-D776)/D776,0)</f>
        <v>-0.3</v>
      </c>
      <c r="E778" s="14" t="n">
        <f aca="false">IFERROR((E777-E776)/E776,0)</f>
        <v>0</v>
      </c>
      <c r="F778" s="14" t="n">
        <f aca="false">IFERROR((F777-F776)/F776,0)</f>
        <v>0</v>
      </c>
      <c r="G778" s="14" t="n">
        <f aca="false">IFERROR((G777-G776)/G776,0)</f>
        <v>0</v>
      </c>
      <c r="H778" s="14" t="n">
        <f aca="false">IFERROR((H777-H776)/H776,0)</f>
        <v>0</v>
      </c>
      <c r="I778" s="14" t="n">
        <f aca="false">IFERROR((I777-I776)/I776,0)</f>
        <v>0</v>
      </c>
      <c r="J778" s="14" t="n">
        <f aca="false">IFERROR((J777-J776)/J776,0)</f>
        <v>0</v>
      </c>
      <c r="K778" s="15" t="n">
        <f aca="false">IFERROR((SUM(D777:J777)-SUM(D776:J776))/SUM(D776:J776),0)</f>
        <v>-0.2</v>
      </c>
    </row>
    <row r="779" customFormat="false" ht="15" hidden="false" customHeight="true" outlineLevel="0" collapsed="false">
      <c r="A779" s="42" t="s">
        <v>622</v>
      </c>
      <c r="B779" s="43" t="s">
        <v>623</v>
      </c>
      <c r="C779" s="5" t="s">
        <v>26</v>
      </c>
      <c r="D779" s="6" t="n">
        <v>0</v>
      </c>
      <c r="E779" s="6" t="n">
        <v>0</v>
      </c>
      <c r="F779" s="6" t="n">
        <v>1</v>
      </c>
      <c r="G779" s="6" t="n">
        <v>0</v>
      </c>
      <c r="H779" s="6" t="n">
        <v>0</v>
      </c>
      <c r="I779" s="6" t="n">
        <v>0</v>
      </c>
      <c r="J779" s="6" t="n">
        <v>0</v>
      </c>
      <c r="K779" s="7" t="n">
        <f aca="false">SUM(D779:J779)</f>
        <v>1</v>
      </c>
    </row>
    <row r="780" customFormat="false" ht="15" hidden="false" customHeight="false" outlineLevel="0" collapsed="false">
      <c r="A780" s="42"/>
      <c r="B780" s="42"/>
      <c r="C780" s="44" t="s">
        <v>14</v>
      </c>
      <c r="D780" s="9" t="n">
        <v>0</v>
      </c>
      <c r="E780" s="9" t="n">
        <v>0.1</v>
      </c>
      <c r="F780" s="9" t="n">
        <v>0.5</v>
      </c>
      <c r="G780" s="9" t="n">
        <v>0.1</v>
      </c>
      <c r="H780" s="9" t="n">
        <v>0</v>
      </c>
      <c r="I780" s="9" t="n">
        <v>0.1</v>
      </c>
      <c r="J780" s="9" t="n">
        <v>0.1</v>
      </c>
      <c r="K780" s="10" t="n">
        <f aca="false">SUM(D780:J780)</f>
        <v>0.9</v>
      </c>
    </row>
    <row r="781" customFormat="false" ht="15" hidden="false" customHeight="false" outlineLevel="0" collapsed="false">
      <c r="A781" s="42"/>
      <c r="B781" s="42"/>
      <c r="C781" s="11" t="s">
        <v>41</v>
      </c>
      <c r="D781" s="14" t="n">
        <f aca="false">IFERROR((D780-D779)/D779,0)</f>
        <v>0</v>
      </c>
      <c r="E781" s="14" t="n">
        <f aca="false">IFERROR((E780-E779)/E779,0)</f>
        <v>0</v>
      </c>
      <c r="F781" s="14" t="n">
        <f aca="false">IFERROR((F780-F779)/F779,0)</f>
        <v>-0.5</v>
      </c>
      <c r="G781" s="14" t="n">
        <f aca="false">IFERROR((G780-G779)/G779,0)</f>
        <v>0</v>
      </c>
      <c r="H781" s="14" t="n">
        <f aca="false">IFERROR((H780-H779)/H779,0)</f>
        <v>0</v>
      </c>
      <c r="I781" s="14" t="n">
        <f aca="false">IFERROR((I780-I779)/I779,0)</f>
        <v>0</v>
      </c>
      <c r="J781" s="14" t="n">
        <f aca="false">IFERROR((J780-J779)/J779,0)</f>
        <v>0</v>
      </c>
      <c r="K781" s="15" t="n">
        <f aca="false">IFERROR((SUM(D780:J780)-SUM(D779:J779))/SUM(D779:J779),0)</f>
        <v>-0.1</v>
      </c>
    </row>
    <row r="782" customFormat="false" ht="15" hidden="false" customHeight="true" outlineLevel="0" collapsed="false">
      <c r="A782" s="42" t="s">
        <v>624</v>
      </c>
      <c r="B782" s="43" t="s">
        <v>625</v>
      </c>
      <c r="C782" s="5" t="s">
        <v>26</v>
      </c>
      <c r="D782" s="6" t="n">
        <v>0</v>
      </c>
      <c r="E782" s="6" t="n">
        <v>0</v>
      </c>
      <c r="F782" s="6" t="n">
        <v>0</v>
      </c>
      <c r="G782" s="6" t="n">
        <v>0</v>
      </c>
      <c r="H782" s="6" t="n">
        <v>0</v>
      </c>
      <c r="I782" s="6" t="n">
        <v>0</v>
      </c>
      <c r="J782" s="6" t="n">
        <v>0</v>
      </c>
      <c r="K782" s="7" t="n">
        <f aca="false">SUM(D782:J782)</f>
        <v>0</v>
      </c>
    </row>
    <row r="783" customFormat="false" ht="15" hidden="false" customHeight="false" outlineLevel="0" collapsed="false">
      <c r="A783" s="42"/>
      <c r="B783" s="42"/>
      <c r="C783" s="44" t="s">
        <v>14</v>
      </c>
      <c r="D783" s="9" t="n">
        <v>0</v>
      </c>
      <c r="E783" s="9" t="n">
        <v>0</v>
      </c>
      <c r="F783" s="9" t="n">
        <v>0</v>
      </c>
      <c r="G783" s="9" t="n">
        <v>0</v>
      </c>
      <c r="H783" s="9" t="n">
        <v>0</v>
      </c>
      <c r="I783" s="9" t="n">
        <v>0</v>
      </c>
      <c r="J783" s="9" t="n">
        <v>0</v>
      </c>
      <c r="K783" s="10" t="n">
        <f aca="false">SUM(D783:J783)</f>
        <v>0</v>
      </c>
    </row>
    <row r="784" customFormat="false" ht="15" hidden="false" customHeight="false" outlineLevel="0" collapsed="false">
      <c r="A784" s="42"/>
      <c r="B784" s="42"/>
      <c r="C784" s="11" t="s">
        <v>41</v>
      </c>
      <c r="D784" s="14" t="n">
        <f aca="false">IFERROR((D783-D782)/D782,0)</f>
        <v>0</v>
      </c>
      <c r="E784" s="14" t="n">
        <f aca="false">IFERROR((E783-E782)/E782,0)</f>
        <v>0</v>
      </c>
      <c r="F784" s="14" t="n">
        <f aca="false">IFERROR((F783-F782)/F782,0)</f>
        <v>0</v>
      </c>
      <c r="G784" s="14" t="n">
        <f aca="false">IFERROR((G783-G782)/G782,0)</f>
        <v>0</v>
      </c>
      <c r="H784" s="14" t="n">
        <f aca="false">IFERROR((H783-H782)/H782,0)</f>
        <v>0</v>
      </c>
      <c r="I784" s="14" t="n">
        <f aca="false">IFERROR((I783-I782)/I782,0)</f>
        <v>0</v>
      </c>
      <c r="J784" s="14" t="n">
        <f aca="false">IFERROR((J783-J782)/J782,0)</f>
        <v>0</v>
      </c>
      <c r="K784" s="15" t="n">
        <f aca="false">IFERROR((SUM(D783:J783)-SUM(D782:J782))/SUM(D782:J782),0)</f>
        <v>0</v>
      </c>
    </row>
    <row r="785" customFormat="false" ht="15" hidden="false" customHeight="true" outlineLevel="0" collapsed="false">
      <c r="A785" s="42" t="s">
        <v>626</v>
      </c>
      <c r="B785" s="43" t="s">
        <v>627</v>
      </c>
      <c r="C785" s="5" t="s">
        <v>26</v>
      </c>
      <c r="D785" s="6" t="n">
        <v>0</v>
      </c>
      <c r="E785" s="6" t="n">
        <v>0</v>
      </c>
      <c r="F785" s="6" t="n">
        <v>0</v>
      </c>
      <c r="G785" s="6" t="n">
        <v>0</v>
      </c>
      <c r="H785" s="6" t="n">
        <v>0</v>
      </c>
      <c r="I785" s="6" t="n">
        <v>0</v>
      </c>
      <c r="J785" s="6" t="n">
        <v>0</v>
      </c>
      <c r="K785" s="7" t="n">
        <f aca="false">SUM(D785:J785)</f>
        <v>0</v>
      </c>
    </row>
    <row r="786" customFormat="false" ht="15" hidden="false" customHeight="false" outlineLevel="0" collapsed="false">
      <c r="A786" s="42"/>
      <c r="B786" s="42"/>
      <c r="C786" s="44" t="s">
        <v>14</v>
      </c>
      <c r="D786" s="9" t="n">
        <v>0</v>
      </c>
      <c r="E786" s="9" t="n">
        <v>0</v>
      </c>
      <c r="F786" s="9" t="n">
        <v>0</v>
      </c>
      <c r="G786" s="9" t="n">
        <v>0</v>
      </c>
      <c r="H786" s="9" t="n">
        <v>0</v>
      </c>
      <c r="I786" s="9" t="n">
        <v>0</v>
      </c>
      <c r="J786" s="9" t="n">
        <v>0</v>
      </c>
      <c r="K786" s="10" t="n">
        <f aca="false">SUM(D786:J786)</f>
        <v>0</v>
      </c>
    </row>
    <row r="787" customFormat="false" ht="15" hidden="false" customHeight="false" outlineLevel="0" collapsed="false">
      <c r="A787" s="42"/>
      <c r="B787" s="42"/>
      <c r="C787" s="11" t="s">
        <v>41</v>
      </c>
      <c r="D787" s="14" t="n">
        <f aca="false">IFERROR((D786-D785)/D785,0)</f>
        <v>0</v>
      </c>
      <c r="E787" s="14" t="n">
        <f aca="false">IFERROR((E786-E785)/E785,0)</f>
        <v>0</v>
      </c>
      <c r="F787" s="14" t="n">
        <f aca="false">IFERROR((F786-F785)/F785,0)</f>
        <v>0</v>
      </c>
      <c r="G787" s="14" t="n">
        <f aca="false">IFERROR((G786-G785)/G785,0)</f>
        <v>0</v>
      </c>
      <c r="H787" s="14" t="n">
        <f aca="false">IFERROR((H786-H785)/H785,0)</f>
        <v>0</v>
      </c>
      <c r="I787" s="14" t="n">
        <f aca="false">IFERROR((I786-I785)/I785,0)</f>
        <v>0</v>
      </c>
      <c r="J787" s="14" t="n">
        <f aca="false">IFERROR((J786-J785)/J785,0)</f>
        <v>0</v>
      </c>
      <c r="K787" s="15" t="n">
        <f aca="false">IFERROR((SUM(D786:J786)-SUM(D785:J785))/SUM(D785:J785),0)</f>
        <v>0</v>
      </c>
    </row>
    <row r="788" customFormat="false" ht="15" hidden="false" customHeight="true" outlineLevel="0" collapsed="false">
      <c r="A788" s="42" t="s">
        <v>628</v>
      </c>
      <c r="B788" s="43" t="s">
        <v>629</v>
      </c>
      <c r="C788" s="5" t="s">
        <v>26</v>
      </c>
      <c r="D788" s="6" t="n">
        <v>0</v>
      </c>
      <c r="E788" s="6" t="n">
        <v>0</v>
      </c>
      <c r="F788" s="6" t="n">
        <v>0</v>
      </c>
      <c r="G788" s="6" t="n">
        <v>0</v>
      </c>
      <c r="H788" s="6" t="n">
        <v>0</v>
      </c>
      <c r="I788" s="6" t="n">
        <v>0</v>
      </c>
      <c r="J788" s="6" t="n">
        <v>0</v>
      </c>
      <c r="K788" s="7" t="n">
        <f aca="false">SUM(D788:J788)</f>
        <v>0</v>
      </c>
    </row>
    <row r="789" customFormat="false" ht="15" hidden="false" customHeight="false" outlineLevel="0" collapsed="false">
      <c r="A789" s="42"/>
      <c r="B789" s="42"/>
      <c r="C789" s="44" t="s">
        <v>14</v>
      </c>
      <c r="D789" s="9" t="n">
        <v>0</v>
      </c>
      <c r="E789" s="9" t="n">
        <v>0.2</v>
      </c>
      <c r="F789" s="9" t="n">
        <v>0.3</v>
      </c>
      <c r="G789" s="9" t="n">
        <v>0.1</v>
      </c>
      <c r="H789" s="9" t="n">
        <v>0.2</v>
      </c>
      <c r="I789" s="9" t="n">
        <v>0.3</v>
      </c>
      <c r="J789" s="9" t="n">
        <v>0.4</v>
      </c>
      <c r="K789" s="10" t="n">
        <f aca="false">SUM(D789:J789)</f>
        <v>1.5</v>
      </c>
    </row>
    <row r="790" customFormat="false" ht="15" hidden="false" customHeight="false" outlineLevel="0" collapsed="false">
      <c r="A790" s="42"/>
      <c r="B790" s="42"/>
      <c r="C790" s="11" t="s">
        <v>41</v>
      </c>
      <c r="D790" s="14" t="n">
        <f aca="false">IFERROR((D789-D788)/D788,0)</f>
        <v>0</v>
      </c>
      <c r="E790" s="14" t="n">
        <f aca="false">IFERROR((E789-E788)/E788,0)</f>
        <v>0</v>
      </c>
      <c r="F790" s="14" t="n">
        <f aca="false">IFERROR((F789-F788)/F788,0)</f>
        <v>0</v>
      </c>
      <c r="G790" s="14" t="n">
        <f aca="false">IFERROR((G789-G788)/G788,0)</f>
        <v>0</v>
      </c>
      <c r="H790" s="14" t="n">
        <f aca="false">IFERROR((H789-H788)/H788,0)</f>
        <v>0</v>
      </c>
      <c r="I790" s="14" t="n">
        <f aca="false">IFERROR((I789-I788)/I788,0)</f>
        <v>0</v>
      </c>
      <c r="J790" s="14" t="n">
        <f aca="false">IFERROR((J789-J788)/J788,0)</f>
        <v>0</v>
      </c>
      <c r="K790" s="15" t="n">
        <f aca="false">IFERROR((SUM(D789:J789)-SUM(D788:J788))/SUM(D788:J788),0)</f>
        <v>0</v>
      </c>
    </row>
  </sheetData>
  <mergeCells count="528">
    <mergeCell ref="A1:K1"/>
    <mergeCell ref="A3:K3"/>
    <mergeCell ref="A4:B4"/>
    <mergeCell ref="A5:B5"/>
    <mergeCell ref="A6:B6"/>
    <mergeCell ref="A7:B7"/>
    <mergeCell ref="A8:B8"/>
    <mergeCell ref="A9:B9"/>
    <mergeCell ref="A10:B10"/>
    <mergeCell ref="A12:K12"/>
    <mergeCell ref="A14:A16"/>
    <mergeCell ref="B14:B16"/>
    <mergeCell ref="A17:A19"/>
    <mergeCell ref="B17:B19"/>
    <mergeCell ref="A20:A22"/>
    <mergeCell ref="B20:B22"/>
    <mergeCell ref="A23:A25"/>
    <mergeCell ref="B23:B25"/>
    <mergeCell ref="A26:A28"/>
    <mergeCell ref="B26:B28"/>
    <mergeCell ref="A29:A31"/>
    <mergeCell ref="B29:B31"/>
    <mergeCell ref="A32:A34"/>
    <mergeCell ref="B32:B34"/>
    <mergeCell ref="A35:A37"/>
    <mergeCell ref="B35:B37"/>
    <mergeCell ref="A38:A40"/>
    <mergeCell ref="B38:B40"/>
    <mergeCell ref="A41:A43"/>
    <mergeCell ref="B41:B43"/>
    <mergeCell ref="A44:A46"/>
    <mergeCell ref="B44:B46"/>
    <mergeCell ref="A47:A49"/>
    <mergeCell ref="B47:B49"/>
    <mergeCell ref="A50:A52"/>
    <mergeCell ref="B50:B52"/>
    <mergeCell ref="A53:A55"/>
    <mergeCell ref="B53:B55"/>
    <mergeCell ref="A56:A58"/>
    <mergeCell ref="B56:B58"/>
    <mergeCell ref="A59:A61"/>
    <mergeCell ref="B59:B61"/>
    <mergeCell ref="A62:A64"/>
    <mergeCell ref="B62:B64"/>
    <mergeCell ref="A65:A67"/>
    <mergeCell ref="B65:B67"/>
    <mergeCell ref="A68:A70"/>
    <mergeCell ref="B68:B70"/>
    <mergeCell ref="A71:A73"/>
    <mergeCell ref="B71:B73"/>
    <mergeCell ref="A74:A76"/>
    <mergeCell ref="B74:B76"/>
    <mergeCell ref="A77:A79"/>
    <mergeCell ref="B77:B79"/>
    <mergeCell ref="A80:A82"/>
    <mergeCell ref="B80:B82"/>
    <mergeCell ref="A83:A85"/>
    <mergeCell ref="B83:B85"/>
    <mergeCell ref="A86:A88"/>
    <mergeCell ref="B86:B88"/>
    <mergeCell ref="A89:A91"/>
    <mergeCell ref="B89:B91"/>
    <mergeCell ref="A92:A94"/>
    <mergeCell ref="B92:B94"/>
    <mergeCell ref="A95:A97"/>
    <mergeCell ref="B95:B97"/>
    <mergeCell ref="A98:A100"/>
    <mergeCell ref="B98:B100"/>
    <mergeCell ref="A101:A103"/>
    <mergeCell ref="B101:B103"/>
    <mergeCell ref="A104:A106"/>
    <mergeCell ref="B104:B106"/>
    <mergeCell ref="A107:A109"/>
    <mergeCell ref="B107:B109"/>
    <mergeCell ref="A110:A112"/>
    <mergeCell ref="B110:B112"/>
    <mergeCell ref="A113:A115"/>
    <mergeCell ref="B113:B115"/>
    <mergeCell ref="A116:A118"/>
    <mergeCell ref="B116:B118"/>
    <mergeCell ref="A119:A121"/>
    <mergeCell ref="B119:B121"/>
    <mergeCell ref="A122:A124"/>
    <mergeCell ref="B122:B124"/>
    <mergeCell ref="A125:A127"/>
    <mergeCell ref="B125:B127"/>
    <mergeCell ref="A128:A130"/>
    <mergeCell ref="B128:B130"/>
    <mergeCell ref="A131:A133"/>
    <mergeCell ref="B131:B133"/>
    <mergeCell ref="A134:A136"/>
    <mergeCell ref="B134:B136"/>
    <mergeCell ref="A137:A139"/>
    <mergeCell ref="B137:B139"/>
    <mergeCell ref="A140:A142"/>
    <mergeCell ref="B140:B142"/>
    <mergeCell ref="A143:A145"/>
    <mergeCell ref="B143:B145"/>
    <mergeCell ref="A146:A148"/>
    <mergeCell ref="B146:B148"/>
    <mergeCell ref="A149:A151"/>
    <mergeCell ref="B149:B151"/>
    <mergeCell ref="A152:A154"/>
    <mergeCell ref="B152:B154"/>
    <mergeCell ref="A155:A157"/>
    <mergeCell ref="B155:B157"/>
    <mergeCell ref="A158:A160"/>
    <mergeCell ref="B158:B160"/>
    <mergeCell ref="A161:A163"/>
    <mergeCell ref="B161:B163"/>
    <mergeCell ref="A164:A166"/>
    <mergeCell ref="B164:B166"/>
    <mergeCell ref="A167:A169"/>
    <mergeCell ref="B167:B169"/>
    <mergeCell ref="A170:A172"/>
    <mergeCell ref="B170:B172"/>
    <mergeCell ref="A173:A175"/>
    <mergeCell ref="B173:B175"/>
    <mergeCell ref="A176:A178"/>
    <mergeCell ref="B176:B178"/>
    <mergeCell ref="A179:A181"/>
    <mergeCell ref="B179:B181"/>
    <mergeCell ref="A182:A184"/>
    <mergeCell ref="B182:B184"/>
    <mergeCell ref="A185:A187"/>
    <mergeCell ref="B185:B187"/>
    <mergeCell ref="A188:A190"/>
    <mergeCell ref="B188:B190"/>
    <mergeCell ref="A191:A193"/>
    <mergeCell ref="B191:B193"/>
    <mergeCell ref="A194:A196"/>
    <mergeCell ref="B194:B196"/>
    <mergeCell ref="A197:A199"/>
    <mergeCell ref="B197:B199"/>
    <mergeCell ref="A200:A202"/>
    <mergeCell ref="B200:B202"/>
    <mergeCell ref="A203:A205"/>
    <mergeCell ref="B203:B205"/>
    <mergeCell ref="A206:A208"/>
    <mergeCell ref="B206:B208"/>
    <mergeCell ref="A209:A211"/>
    <mergeCell ref="B209:B211"/>
    <mergeCell ref="A212:A214"/>
    <mergeCell ref="B212:B214"/>
    <mergeCell ref="A215:A217"/>
    <mergeCell ref="B215:B217"/>
    <mergeCell ref="A218:A220"/>
    <mergeCell ref="B218:B220"/>
    <mergeCell ref="A221:A223"/>
    <mergeCell ref="B221:B223"/>
    <mergeCell ref="A224:A226"/>
    <mergeCell ref="B224:B226"/>
    <mergeCell ref="A227:A229"/>
    <mergeCell ref="B227:B229"/>
    <mergeCell ref="A230:A232"/>
    <mergeCell ref="B230:B232"/>
    <mergeCell ref="A233:A235"/>
    <mergeCell ref="B233:B235"/>
    <mergeCell ref="A236:A238"/>
    <mergeCell ref="B236:B238"/>
    <mergeCell ref="A239:A241"/>
    <mergeCell ref="B239:B241"/>
    <mergeCell ref="A242:A244"/>
    <mergeCell ref="B242:B244"/>
    <mergeCell ref="A245:A247"/>
    <mergeCell ref="B245:B247"/>
    <mergeCell ref="A248:A250"/>
    <mergeCell ref="B248:B250"/>
    <mergeCell ref="A251:A253"/>
    <mergeCell ref="B251:B253"/>
    <mergeCell ref="A254:A256"/>
    <mergeCell ref="B254:B256"/>
    <mergeCell ref="A257:A259"/>
    <mergeCell ref="B257:B259"/>
    <mergeCell ref="A260:A262"/>
    <mergeCell ref="B260:B262"/>
    <mergeCell ref="A263:A265"/>
    <mergeCell ref="B263:B265"/>
    <mergeCell ref="A266:A268"/>
    <mergeCell ref="B266:B268"/>
    <mergeCell ref="A269:A271"/>
    <mergeCell ref="B269:B271"/>
    <mergeCell ref="A272:A274"/>
    <mergeCell ref="B272:B274"/>
    <mergeCell ref="A275:A277"/>
    <mergeCell ref="B275:B277"/>
    <mergeCell ref="A278:A280"/>
    <mergeCell ref="B278:B280"/>
    <mergeCell ref="A281:A283"/>
    <mergeCell ref="B281:B283"/>
    <mergeCell ref="A284:A286"/>
    <mergeCell ref="B284:B286"/>
    <mergeCell ref="A287:A289"/>
    <mergeCell ref="B287:B289"/>
    <mergeCell ref="A290:A292"/>
    <mergeCell ref="B290:B292"/>
    <mergeCell ref="A293:A295"/>
    <mergeCell ref="B293:B295"/>
    <mergeCell ref="A296:A298"/>
    <mergeCell ref="B296:B298"/>
    <mergeCell ref="A299:A301"/>
    <mergeCell ref="B299:B301"/>
    <mergeCell ref="A302:A304"/>
    <mergeCell ref="B302:B304"/>
    <mergeCell ref="A305:A307"/>
    <mergeCell ref="B305:B307"/>
    <mergeCell ref="A308:A310"/>
    <mergeCell ref="B308:B310"/>
    <mergeCell ref="A311:A313"/>
    <mergeCell ref="B311:B313"/>
    <mergeCell ref="A314:A316"/>
    <mergeCell ref="B314:B316"/>
    <mergeCell ref="A317:A319"/>
    <mergeCell ref="B317:B319"/>
    <mergeCell ref="A320:A322"/>
    <mergeCell ref="B320:B322"/>
    <mergeCell ref="A323:A325"/>
    <mergeCell ref="B323:B325"/>
    <mergeCell ref="A326:A328"/>
    <mergeCell ref="B326:B328"/>
    <mergeCell ref="A329:A331"/>
    <mergeCell ref="B329:B331"/>
    <mergeCell ref="A332:A334"/>
    <mergeCell ref="B332:B334"/>
    <mergeCell ref="A335:A337"/>
    <mergeCell ref="B335:B337"/>
    <mergeCell ref="A338:A340"/>
    <mergeCell ref="B338:B340"/>
    <mergeCell ref="A341:A343"/>
    <mergeCell ref="B341:B343"/>
    <mergeCell ref="A344:A346"/>
    <mergeCell ref="B344:B346"/>
    <mergeCell ref="A347:A349"/>
    <mergeCell ref="B347:B349"/>
    <mergeCell ref="A350:A352"/>
    <mergeCell ref="B350:B352"/>
    <mergeCell ref="A353:A355"/>
    <mergeCell ref="B353:B355"/>
    <mergeCell ref="A356:A358"/>
    <mergeCell ref="B356:B358"/>
    <mergeCell ref="A359:A361"/>
    <mergeCell ref="B359:B361"/>
    <mergeCell ref="A362:A364"/>
    <mergeCell ref="B362:B364"/>
    <mergeCell ref="A365:A367"/>
    <mergeCell ref="B365:B367"/>
    <mergeCell ref="A368:A370"/>
    <mergeCell ref="B368:B370"/>
    <mergeCell ref="A371:A373"/>
    <mergeCell ref="B371:B373"/>
    <mergeCell ref="A374:A376"/>
    <mergeCell ref="B374:B376"/>
    <mergeCell ref="A377:A379"/>
    <mergeCell ref="B377:B379"/>
    <mergeCell ref="A380:A382"/>
    <mergeCell ref="B380:B382"/>
    <mergeCell ref="A383:A385"/>
    <mergeCell ref="B383:B385"/>
    <mergeCell ref="A386:A388"/>
    <mergeCell ref="B386:B388"/>
    <mergeCell ref="A389:A391"/>
    <mergeCell ref="B389:B391"/>
    <mergeCell ref="A392:A394"/>
    <mergeCell ref="B392:B394"/>
    <mergeCell ref="A395:A397"/>
    <mergeCell ref="B395:B397"/>
    <mergeCell ref="A398:A400"/>
    <mergeCell ref="B398:B400"/>
    <mergeCell ref="A401:A403"/>
    <mergeCell ref="B401:B403"/>
    <mergeCell ref="A404:A406"/>
    <mergeCell ref="B404:B406"/>
    <mergeCell ref="A407:A409"/>
    <mergeCell ref="B407:B409"/>
    <mergeCell ref="A410:A412"/>
    <mergeCell ref="B410:B412"/>
    <mergeCell ref="A413:A415"/>
    <mergeCell ref="B413:B415"/>
    <mergeCell ref="A416:A418"/>
    <mergeCell ref="B416:B418"/>
    <mergeCell ref="A419:A421"/>
    <mergeCell ref="B419:B421"/>
    <mergeCell ref="A422:A424"/>
    <mergeCell ref="B422:B424"/>
    <mergeCell ref="A425:A427"/>
    <mergeCell ref="B425:B427"/>
    <mergeCell ref="A428:A430"/>
    <mergeCell ref="B428:B430"/>
    <mergeCell ref="A431:A433"/>
    <mergeCell ref="B431:B433"/>
    <mergeCell ref="A434:A436"/>
    <mergeCell ref="B434:B436"/>
    <mergeCell ref="A437:A439"/>
    <mergeCell ref="B437:B439"/>
    <mergeCell ref="A440:A442"/>
    <mergeCell ref="B440:B442"/>
    <mergeCell ref="A443:A445"/>
    <mergeCell ref="B443:B445"/>
    <mergeCell ref="A446:A448"/>
    <mergeCell ref="B446:B448"/>
    <mergeCell ref="A449:A451"/>
    <mergeCell ref="B449:B451"/>
    <mergeCell ref="A452:A454"/>
    <mergeCell ref="B452:B454"/>
    <mergeCell ref="A455:A457"/>
    <mergeCell ref="B455:B457"/>
    <mergeCell ref="A458:A460"/>
    <mergeCell ref="B458:B460"/>
    <mergeCell ref="A461:A463"/>
    <mergeCell ref="B461:B463"/>
    <mergeCell ref="A464:A466"/>
    <mergeCell ref="B464:B466"/>
    <mergeCell ref="A467:A469"/>
    <mergeCell ref="B467:B469"/>
    <mergeCell ref="A470:A472"/>
    <mergeCell ref="B470:B472"/>
    <mergeCell ref="A473:A475"/>
    <mergeCell ref="B473:B475"/>
    <mergeCell ref="A476:A478"/>
    <mergeCell ref="B476:B478"/>
    <mergeCell ref="A479:A481"/>
    <mergeCell ref="B479:B481"/>
    <mergeCell ref="A482:A484"/>
    <mergeCell ref="B482:B484"/>
    <mergeCell ref="A485:A487"/>
    <mergeCell ref="B485:B487"/>
    <mergeCell ref="A488:A490"/>
    <mergeCell ref="B488:B490"/>
    <mergeCell ref="A491:A493"/>
    <mergeCell ref="B491:B493"/>
    <mergeCell ref="A494:A496"/>
    <mergeCell ref="B494:B496"/>
    <mergeCell ref="A497:A499"/>
    <mergeCell ref="B497:B499"/>
    <mergeCell ref="A500:A502"/>
    <mergeCell ref="B500:B502"/>
    <mergeCell ref="A503:A505"/>
    <mergeCell ref="B503:B505"/>
    <mergeCell ref="A506:A508"/>
    <mergeCell ref="B506:B508"/>
    <mergeCell ref="A509:A511"/>
    <mergeCell ref="B509:B511"/>
    <mergeCell ref="A512:A514"/>
    <mergeCell ref="B512:B514"/>
    <mergeCell ref="A515:A517"/>
    <mergeCell ref="B515:B517"/>
    <mergeCell ref="A518:A520"/>
    <mergeCell ref="B518:B520"/>
    <mergeCell ref="A521:A523"/>
    <mergeCell ref="B521:B523"/>
    <mergeCell ref="A524:A526"/>
    <mergeCell ref="B524:B526"/>
    <mergeCell ref="A527:A529"/>
    <mergeCell ref="B527:B529"/>
    <mergeCell ref="A530:A532"/>
    <mergeCell ref="B530:B532"/>
    <mergeCell ref="A533:A535"/>
    <mergeCell ref="B533:B535"/>
    <mergeCell ref="A536:A538"/>
    <mergeCell ref="B536:B538"/>
    <mergeCell ref="A539:A541"/>
    <mergeCell ref="B539:B541"/>
    <mergeCell ref="A542:A544"/>
    <mergeCell ref="B542:B544"/>
    <mergeCell ref="A545:A547"/>
    <mergeCell ref="B545:B547"/>
    <mergeCell ref="A548:A550"/>
    <mergeCell ref="B548:B550"/>
    <mergeCell ref="A551:A553"/>
    <mergeCell ref="B551:B553"/>
    <mergeCell ref="A554:A556"/>
    <mergeCell ref="B554:B556"/>
    <mergeCell ref="A557:A559"/>
    <mergeCell ref="B557:B559"/>
    <mergeCell ref="A560:A562"/>
    <mergeCell ref="B560:B562"/>
    <mergeCell ref="A563:A565"/>
    <mergeCell ref="B563:B565"/>
    <mergeCell ref="A566:A568"/>
    <mergeCell ref="B566:B568"/>
    <mergeCell ref="A569:A571"/>
    <mergeCell ref="B569:B571"/>
    <mergeCell ref="A572:A574"/>
    <mergeCell ref="B572:B574"/>
    <mergeCell ref="A575:A577"/>
    <mergeCell ref="B575:B577"/>
    <mergeCell ref="A578:A580"/>
    <mergeCell ref="B578:B580"/>
    <mergeCell ref="A581:A583"/>
    <mergeCell ref="B581:B583"/>
    <mergeCell ref="A584:A586"/>
    <mergeCell ref="B584:B586"/>
    <mergeCell ref="A587:A589"/>
    <mergeCell ref="B587:B589"/>
    <mergeCell ref="A590:A592"/>
    <mergeCell ref="B590:B592"/>
    <mergeCell ref="A593:A595"/>
    <mergeCell ref="B593:B595"/>
    <mergeCell ref="A596:A598"/>
    <mergeCell ref="B596:B598"/>
    <mergeCell ref="A599:A601"/>
    <mergeCell ref="B599:B601"/>
    <mergeCell ref="A602:A604"/>
    <mergeCell ref="B602:B604"/>
    <mergeCell ref="A605:A607"/>
    <mergeCell ref="B605:B607"/>
    <mergeCell ref="A608:A610"/>
    <mergeCell ref="B608:B610"/>
    <mergeCell ref="A611:A613"/>
    <mergeCell ref="B611:B613"/>
    <mergeCell ref="A614:A616"/>
    <mergeCell ref="B614:B616"/>
    <mergeCell ref="A617:A619"/>
    <mergeCell ref="B617:B619"/>
    <mergeCell ref="A620:A622"/>
    <mergeCell ref="B620:B622"/>
    <mergeCell ref="A623:A625"/>
    <mergeCell ref="B623:B625"/>
    <mergeCell ref="A626:A628"/>
    <mergeCell ref="B626:B628"/>
    <mergeCell ref="A629:A631"/>
    <mergeCell ref="B629:B631"/>
    <mergeCell ref="A632:A634"/>
    <mergeCell ref="B632:B634"/>
    <mergeCell ref="A635:A637"/>
    <mergeCell ref="B635:B637"/>
    <mergeCell ref="A638:A640"/>
    <mergeCell ref="B638:B640"/>
    <mergeCell ref="A641:A643"/>
    <mergeCell ref="B641:B643"/>
    <mergeCell ref="A644:A646"/>
    <mergeCell ref="B644:B646"/>
    <mergeCell ref="A647:A649"/>
    <mergeCell ref="B647:B649"/>
    <mergeCell ref="A650:A652"/>
    <mergeCell ref="B650:B652"/>
    <mergeCell ref="A653:A655"/>
    <mergeCell ref="B653:B655"/>
    <mergeCell ref="A656:A658"/>
    <mergeCell ref="B656:B658"/>
    <mergeCell ref="A659:A661"/>
    <mergeCell ref="B659:B661"/>
    <mergeCell ref="A662:A664"/>
    <mergeCell ref="B662:B664"/>
    <mergeCell ref="A665:A667"/>
    <mergeCell ref="B665:B667"/>
    <mergeCell ref="A668:A670"/>
    <mergeCell ref="B668:B670"/>
    <mergeCell ref="A671:A673"/>
    <mergeCell ref="B671:B673"/>
    <mergeCell ref="A674:A676"/>
    <mergeCell ref="B674:B676"/>
    <mergeCell ref="A677:A679"/>
    <mergeCell ref="B677:B679"/>
    <mergeCell ref="A680:A682"/>
    <mergeCell ref="B680:B682"/>
    <mergeCell ref="A683:A685"/>
    <mergeCell ref="B683:B685"/>
    <mergeCell ref="A686:A688"/>
    <mergeCell ref="B686:B688"/>
    <mergeCell ref="A689:A691"/>
    <mergeCell ref="B689:B691"/>
    <mergeCell ref="A692:A694"/>
    <mergeCell ref="B692:B694"/>
    <mergeCell ref="A695:A697"/>
    <mergeCell ref="B695:B697"/>
    <mergeCell ref="A698:A700"/>
    <mergeCell ref="B698:B700"/>
    <mergeCell ref="A701:A703"/>
    <mergeCell ref="B701:B703"/>
    <mergeCell ref="A704:A706"/>
    <mergeCell ref="B704:B706"/>
    <mergeCell ref="A707:A709"/>
    <mergeCell ref="B707:B709"/>
    <mergeCell ref="A710:A712"/>
    <mergeCell ref="B710:B712"/>
    <mergeCell ref="A713:A715"/>
    <mergeCell ref="B713:B715"/>
    <mergeCell ref="A716:A718"/>
    <mergeCell ref="B716:B718"/>
    <mergeCell ref="A719:A721"/>
    <mergeCell ref="B719:B721"/>
    <mergeCell ref="A722:A724"/>
    <mergeCell ref="B722:B724"/>
    <mergeCell ref="A725:A727"/>
    <mergeCell ref="B725:B727"/>
    <mergeCell ref="A728:A730"/>
    <mergeCell ref="B728:B730"/>
    <mergeCell ref="A731:A733"/>
    <mergeCell ref="B731:B733"/>
    <mergeCell ref="A734:A736"/>
    <mergeCell ref="B734:B736"/>
    <mergeCell ref="A737:A739"/>
    <mergeCell ref="B737:B739"/>
    <mergeCell ref="A740:A742"/>
    <mergeCell ref="B740:B742"/>
    <mergeCell ref="A743:A745"/>
    <mergeCell ref="B743:B745"/>
    <mergeCell ref="A746:A748"/>
    <mergeCell ref="B746:B748"/>
    <mergeCell ref="A749:A751"/>
    <mergeCell ref="B749:B751"/>
    <mergeCell ref="A752:A754"/>
    <mergeCell ref="B752:B754"/>
    <mergeCell ref="A755:A757"/>
    <mergeCell ref="B755:B757"/>
    <mergeCell ref="A758:A760"/>
    <mergeCell ref="B758:B760"/>
    <mergeCell ref="A761:A763"/>
    <mergeCell ref="B761:B763"/>
    <mergeCell ref="A764:A766"/>
    <mergeCell ref="B764:B766"/>
    <mergeCell ref="A767:A769"/>
    <mergeCell ref="B767:B769"/>
    <mergeCell ref="A770:A772"/>
    <mergeCell ref="B770:B772"/>
    <mergeCell ref="A773:A775"/>
    <mergeCell ref="B773:B775"/>
    <mergeCell ref="A776:A778"/>
    <mergeCell ref="B776:B778"/>
    <mergeCell ref="A779:A781"/>
    <mergeCell ref="B779:B781"/>
    <mergeCell ref="A782:A784"/>
    <mergeCell ref="B782:B784"/>
    <mergeCell ref="A785:A787"/>
    <mergeCell ref="B785:B787"/>
    <mergeCell ref="A788:A790"/>
    <mergeCell ref="B788:B7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10" min="4" style="0" width="11"/>
    <col collapsed="false" customWidth="true" hidden="false" outlineLevel="0" max="11" min="11" style="0" width="12"/>
  </cols>
  <sheetData>
    <row r="1" customFormat="false" ht="27.75" hidden="false" customHeight="true" outlineLevel="0" collapsed="false">
      <c r="A1" s="46" t="s">
        <v>630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3" customFormat="false" ht="15" hidden="false" customHeight="true" outlineLevel="0" collapsed="false">
      <c r="A3" s="38" t="s">
        <v>34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customFormat="false" ht="21.75" hidden="false" customHeight="true" outlineLevel="0" collapsed="false">
      <c r="A4" s="3" t="s">
        <v>3</v>
      </c>
      <c r="B4" s="3"/>
      <c r="C4" s="3"/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</row>
    <row r="5" customFormat="false" ht="15" hidden="false" customHeight="false" outlineLevel="0" collapsed="false">
      <c r="A5" s="39" t="s">
        <v>13</v>
      </c>
      <c r="B5" s="39"/>
      <c r="D5" s="6" t="n">
        <v>4133</v>
      </c>
      <c r="E5" s="6" t="n">
        <v>4005</v>
      </c>
      <c r="F5" s="6" t="n">
        <v>3688</v>
      </c>
      <c r="G5" s="6" t="n">
        <v>3907</v>
      </c>
      <c r="H5" s="6" t="n">
        <v>4534</v>
      </c>
      <c r="I5" s="6" t="n">
        <v>6969</v>
      </c>
      <c r="J5" s="6" t="n">
        <v>3365</v>
      </c>
      <c r="K5" s="7" t="n">
        <f aca="false">SUM(D5:J5)</f>
        <v>30601</v>
      </c>
    </row>
    <row r="6" customFormat="false" ht="15" hidden="false" customHeight="false" outlineLevel="0" collapsed="false">
      <c r="A6" s="40" t="s">
        <v>14</v>
      </c>
      <c r="B6" s="40"/>
      <c r="D6" s="9" t="n">
        <v>3817</v>
      </c>
      <c r="E6" s="9" t="n">
        <v>4263</v>
      </c>
      <c r="F6" s="9" t="n">
        <v>3865.1</v>
      </c>
      <c r="G6" s="9" t="n">
        <v>3925.4</v>
      </c>
      <c r="H6" s="9" t="n">
        <v>4219.9</v>
      </c>
      <c r="I6" s="9" t="n">
        <v>6899.7</v>
      </c>
      <c r="J6" s="9" t="n">
        <v>4514.5</v>
      </c>
      <c r="K6" s="10" t="n">
        <f aca="false">SUM(D6:J6)</f>
        <v>31504.6</v>
      </c>
    </row>
    <row r="7" customFormat="false" ht="15" hidden="false" customHeight="false" outlineLevel="0" collapsed="false">
      <c r="A7" s="41" t="s">
        <v>15</v>
      </c>
      <c r="B7" s="41"/>
      <c r="D7" s="12" t="n">
        <f aca="false">D6-D5</f>
        <v>-316</v>
      </c>
      <c r="E7" s="12" t="n">
        <f aca="false">E6-E5</f>
        <v>258</v>
      </c>
      <c r="F7" s="12" t="n">
        <f aca="false">F6-F5</f>
        <v>177.1</v>
      </c>
      <c r="G7" s="12" t="n">
        <f aca="false">G6-G5</f>
        <v>18.4000000000001</v>
      </c>
      <c r="H7" s="12" t="n">
        <f aca="false">H6-H5</f>
        <v>-314.1</v>
      </c>
      <c r="I7" s="12" t="n">
        <f aca="false">I6-I5</f>
        <v>-69.3000000000002</v>
      </c>
      <c r="J7" s="12" t="n">
        <f aca="false">J6-J5</f>
        <v>1149.5</v>
      </c>
      <c r="K7" s="13" t="n">
        <f aca="false">SUM(D7:J7)</f>
        <v>903.6</v>
      </c>
    </row>
    <row r="8" customFormat="false" ht="15" hidden="false" customHeight="false" outlineLevel="0" collapsed="false">
      <c r="A8" s="41" t="s">
        <v>16</v>
      </c>
      <c r="B8" s="41"/>
      <c r="D8" s="14" t="n">
        <f aca="false">IFERROR((D6-D5)/D5,0)</f>
        <v>-0.0764577788531333</v>
      </c>
      <c r="E8" s="14" t="n">
        <f aca="false">IFERROR((E6-E5)/E5,0)</f>
        <v>0.0644194756554307</v>
      </c>
      <c r="F8" s="14" t="n">
        <f aca="false">IFERROR((F6-F5)/F5,0)</f>
        <v>0.0480206073752711</v>
      </c>
      <c r="G8" s="14" t="n">
        <f aca="false">IFERROR((G6-G5)/G5,0)</f>
        <v>0.00470949577681088</v>
      </c>
      <c r="H8" s="14" t="n">
        <f aca="false">IFERROR((H6-H5)/H5,0)</f>
        <v>-0.0692765769739745</v>
      </c>
      <c r="I8" s="14" t="n">
        <f aca="false">IFERROR((I6-I5)/I5,0)</f>
        <v>-0.0099440378820491</v>
      </c>
      <c r="J8" s="14" t="n">
        <f aca="false">IFERROR((J6-J5)/J5,0)</f>
        <v>0.341604754829123</v>
      </c>
      <c r="K8" s="15" t="n">
        <f aca="false">IFERROR((SUM(D6:J6)-SUM(D5:J5))/SUM(D5:J5),0)</f>
        <v>0.0295284467827848</v>
      </c>
    </row>
    <row r="9" customFormat="false" ht="15" hidden="false" customHeight="false" outlineLevel="0" collapsed="false">
      <c r="A9" s="39" t="s">
        <v>17</v>
      </c>
      <c r="B9" s="39"/>
      <c r="D9" s="16" t="n">
        <v>1497.6</v>
      </c>
      <c r="E9" s="16" t="n">
        <v>1419.2</v>
      </c>
      <c r="F9" s="16" t="n">
        <v>1375</v>
      </c>
      <c r="G9" s="16" t="n">
        <v>1464.7</v>
      </c>
      <c r="H9" s="16" t="n">
        <v>1722.6</v>
      </c>
      <c r="I9" s="16" t="n">
        <v>2734.2</v>
      </c>
      <c r="J9" s="16" t="n">
        <v>1260.8</v>
      </c>
      <c r="K9" s="10" t="n">
        <f aca="false">SUM(D9:J9)</f>
        <v>11474.1</v>
      </c>
    </row>
    <row r="10" customFormat="false" ht="15" hidden="false" customHeight="false" outlineLevel="0" collapsed="false">
      <c r="A10" s="40" t="s">
        <v>18</v>
      </c>
      <c r="B10" s="40"/>
      <c r="D10" s="9" t="n">
        <v>1376</v>
      </c>
      <c r="E10" s="9" t="n">
        <v>1520.9</v>
      </c>
      <c r="F10" s="9" t="n">
        <v>1383.2</v>
      </c>
      <c r="G10" s="9" t="n">
        <v>1443.1</v>
      </c>
      <c r="H10" s="9" t="n">
        <v>1598.5</v>
      </c>
      <c r="I10" s="9" t="n">
        <v>2741.6</v>
      </c>
      <c r="J10" s="9" t="n">
        <v>1748.1</v>
      </c>
      <c r="K10" s="10" t="n">
        <f aca="false">SUM(D10:J10)</f>
        <v>11811.4</v>
      </c>
    </row>
    <row r="12" customFormat="false" ht="15" hidden="false" customHeight="true" outlineLevel="0" collapsed="false">
      <c r="A12" s="38" t="s">
        <v>35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</row>
    <row r="13" customFormat="false" ht="21.75" hidden="false" customHeight="true" outlineLevel="0" collapsed="false">
      <c r="A13" s="3" t="s">
        <v>36</v>
      </c>
      <c r="B13" s="3" t="s">
        <v>37</v>
      </c>
      <c r="C13" s="3" t="s">
        <v>3</v>
      </c>
      <c r="D13" s="3" t="s">
        <v>4</v>
      </c>
      <c r="E13" s="3" t="s">
        <v>5</v>
      </c>
      <c r="F13" s="3" t="s">
        <v>6</v>
      </c>
      <c r="G13" s="3" t="s">
        <v>7</v>
      </c>
      <c r="H13" s="3" t="s">
        <v>8</v>
      </c>
      <c r="I13" s="3" t="s">
        <v>9</v>
      </c>
      <c r="J13" s="3" t="s">
        <v>10</v>
      </c>
      <c r="K13" s="3" t="s">
        <v>38</v>
      </c>
    </row>
    <row r="14" customFormat="false" ht="15" hidden="false" customHeight="true" outlineLevel="0" collapsed="false">
      <c r="A14" s="42" t="s">
        <v>631</v>
      </c>
      <c r="B14" s="43" t="s">
        <v>632</v>
      </c>
      <c r="C14" s="5" t="s">
        <v>26</v>
      </c>
      <c r="D14" s="6" t="n">
        <v>187</v>
      </c>
      <c r="E14" s="6" t="n">
        <v>160</v>
      </c>
      <c r="F14" s="6" t="n">
        <v>147</v>
      </c>
      <c r="G14" s="6" t="n">
        <v>154</v>
      </c>
      <c r="H14" s="6" t="n">
        <v>222</v>
      </c>
      <c r="I14" s="6" t="n">
        <v>553</v>
      </c>
      <c r="J14" s="6" t="n">
        <v>219</v>
      </c>
      <c r="K14" s="7" t="n">
        <f aca="false">SUM(D14:J14)</f>
        <v>1642</v>
      </c>
    </row>
    <row r="15" customFormat="false" ht="15" hidden="false" customHeight="false" outlineLevel="0" collapsed="false">
      <c r="A15" s="42"/>
      <c r="B15" s="42"/>
      <c r="C15" s="44" t="s">
        <v>14</v>
      </c>
      <c r="D15" s="9" t="n">
        <v>151.4</v>
      </c>
      <c r="E15" s="9" t="n">
        <v>191.4</v>
      </c>
      <c r="F15" s="9" t="n">
        <v>162.8</v>
      </c>
      <c r="G15" s="9" t="n">
        <v>164.9</v>
      </c>
      <c r="H15" s="9" t="n">
        <v>207.2</v>
      </c>
      <c r="I15" s="9" t="n">
        <v>387.3</v>
      </c>
      <c r="J15" s="9" t="n">
        <v>242.3</v>
      </c>
      <c r="K15" s="10" t="n">
        <f aca="false">SUM(D15:J15)</f>
        <v>1507.3</v>
      </c>
    </row>
    <row r="16" customFormat="false" ht="15" hidden="false" customHeight="false" outlineLevel="0" collapsed="false">
      <c r="A16" s="42"/>
      <c r="B16" s="42"/>
      <c r="C16" s="11" t="s">
        <v>41</v>
      </c>
      <c r="D16" s="14" t="n">
        <f aca="false">IFERROR((D15-D14)/D14,0)</f>
        <v>-0.190374331550802</v>
      </c>
      <c r="E16" s="14" t="n">
        <f aca="false">IFERROR((E15-E14)/E14,0)</f>
        <v>0.19625</v>
      </c>
      <c r="F16" s="14" t="n">
        <f aca="false">IFERROR((F15-F14)/F14,0)</f>
        <v>0.107482993197279</v>
      </c>
      <c r="G16" s="14" t="n">
        <f aca="false">IFERROR((G15-G14)/G14,0)</f>
        <v>0.0707792207792208</v>
      </c>
      <c r="H16" s="14" t="n">
        <f aca="false">IFERROR((H15-H14)/H14,0)</f>
        <v>-0.0666666666666667</v>
      </c>
      <c r="I16" s="14" t="n">
        <f aca="false">IFERROR((I15-I14)/I14,0)</f>
        <v>-0.299638336347197</v>
      </c>
      <c r="J16" s="14" t="n">
        <f aca="false">IFERROR((J15-J14)/J14,0)</f>
        <v>0.106392694063927</v>
      </c>
      <c r="K16" s="15" t="n">
        <f aca="false">IFERROR((SUM(D15:J15)-SUM(D14:J14))/SUM(D14:J14),0)</f>
        <v>-0.0820341047503045</v>
      </c>
    </row>
    <row r="17" customFormat="false" ht="15" hidden="false" customHeight="true" outlineLevel="0" collapsed="false">
      <c r="A17" s="42" t="s">
        <v>633</v>
      </c>
      <c r="B17" s="43" t="s">
        <v>634</v>
      </c>
      <c r="C17" s="5" t="s">
        <v>26</v>
      </c>
      <c r="D17" s="6" t="n">
        <v>201</v>
      </c>
      <c r="E17" s="6" t="n">
        <v>260</v>
      </c>
      <c r="F17" s="6" t="n">
        <v>244</v>
      </c>
      <c r="G17" s="6" t="n">
        <v>214</v>
      </c>
      <c r="H17" s="6" t="n">
        <v>227</v>
      </c>
      <c r="I17" s="6" t="n">
        <v>315</v>
      </c>
      <c r="J17" s="6" t="n">
        <v>175</v>
      </c>
      <c r="K17" s="7" t="n">
        <f aca="false">SUM(D17:J17)</f>
        <v>1636</v>
      </c>
    </row>
    <row r="18" customFormat="false" ht="15" hidden="false" customHeight="false" outlineLevel="0" collapsed="false">
      <c r="A18" s="42"/>
      <c r="B18" s="42"/>
      <c r="C18" s="44" t="s">
        <v>14</v>
      </c>
      <c r="D18" s="9" t="n">
        <v>193.5</v>
      </c>
      <c r="E18" s="9" t="n">
        <v>227.8</v>
      </c>
      <c r="F18" s="9" t="n">
        <v>208.1</v>
      </c>
      <c r="G18" s="9" t="n">
        <v>218.6</v>
      </c>
      <c r="H18" s="9" t="n">
        <v>202.1</v>
      </c>
      <c r="I18" s="9" t="n">
        <v>311.5</v>
      </c>
      <c r="J18" s="9" t="n">
        <v>202.8</v>
      </c>
      <c r="K18" s="10" t="n">
        <f aca="false">SUM(D18:J18)</f>
        <v>1564.4</v>
      </c>
    </row>
    <row r="19" customFormat="false" ht="15" hidden="false" customHeight="false" outlineLevel="0" collapsed="false">
      <c r="A19" s="42"/>
      <c r="B19" s="42"/>
      <c r="C19" s="11" t="s">
        <v>41</v>
      </c>
      <c r="D19" s="14" t="n">
        <f aca="false">IFERROR((D18-D17)/D17,0)</f>
        <v>-0.0373134328358209</v>
      </c>
      <c r="E19" s="14" t="n">
        <f aca="false">IFERROR((E18-E17)/E17,0)</f>
        <v>-0.123846153846154</v>
      </c>
      <c r="F19" s="14" t="n">
        <f aca="false">IFERROR((F18-F17)/F17,0)</f>
        <v>-0.147131147540984</v>
      </c>
      <c r="G19" s="14" t="n">
        <f aca="false">IFERROR((G18-G17)/G17,0)</f>
        <v>0.0214953271028037</v>
      </c>
      <c r="H19" s="14" t="n">
        <f aca="false">IFERROR((H18-H17)/H17,0)</f>
        <v>-0.109691629955947</v>
      </c>
      <c r="I19" s="14" t="n">
        <f aca="false">IFERROR((I18-I17)/I17,0)</f>
        <v>-0.0111111111111111</v>
      </c>
      <c r="J19" s="14" t="n">
        <f aca="false">IFERROR((J18-J17)/J17,0)</f>
        <v>0.158857142857143</v>
      </c>
      <c r="K19" s="15" t="n">
        <f aca="false">IFERROR((SUM(D18:J18)-SUM(D17:J17))/SUM(D17:J17),0)</f>
        <v>-0.0437652811735942</v>
      </c>
    </row>
    <row r="20" customFormat="false" ht="15" hidden="false" customHeight="true" outlineLevel="0" collapsed="false">
      <c r="A20" s="42" t="s">
        <v>635</v>
      </c>
      <c r="B20" s="43" t="s">
        <v>636</v>
      </c>
      <c r="C20" s="5" t="s">
        <v>26</v>
      </c>
      <c r="D20" s="6" t="n">
        <v>191</v>
      </c>
      <c r="E20" s="6" t="n">
        <v>193</v>
      </c>
      <c r="F20" s="6" t="n">
        <v>199</v>
      </c>
      <c r="G20" s="6" t="n">
        <v>181</v>
      </c>
      <c r="H20" s="6" t="n">
        <v>229</v>
      </c>
      <c r="I20" s="6" t="n">
        <v>365</v>
      </c>
      <c r="J20" s="6" t="n">
        <v>170</v>
      </c>
      <c r="K20" s="7" t="n">
        <f aca="false">SUM(D20:J20)</f>
        <v>1528</v>
      </c>
    </row>
    <row r="21" customFormat="false" ht="15" hidden="false" customHeight="false" outlineLevel="0" collapsed="false">
      <c r="A21" s="42"/>
      <c r="B21" s="42"/>
      <c r="C21" s="44" t="s">
        <v>14</v>
      </c>
      <c r="D21" s="9" t="n">
        <v>178.5</v>
      </c>
      <c r="E21" s="9" t="n">
        <v>195.4</v>
      </c>
      <c r="F21" s="9" t="n">
        <v>190.3</v>
      </c>
      <c r="G21" s="9" t="n">
        <v>185.2</v>
      </c>
      <c r="H21" s="9" t="n">
        <v>177.8</v>
      </c>
      <c r="I21" s="9" t="n">
        <v>282.9</v>
      </c>
      <c r="J21" s="9" t="n">
        <v>216.7</v>
      </c>
      <c r="K21" s="10" t="n">
        <f aca="false">SUM(D21:J21)</f>
        <v>1426.8</v>
      </c>
    </row>
    <row r="22" customFormat="false" ht="15" hidden="false" customHeight="false" outlineLevel="0" collapsed="false">
      <c r="A22" s="42"/>
      <c r="B22" s="42"/>
      <c r="C22" s="11" t="s">
        <v>41</v>
      </c>
      <c r="D22" s="14" t="n">
        <f aca="false">IFERROR((D21-D20)/D20,0)</f>
        <v>-0.0654450261780105</v>
      </c>
      <c r="E22" s="14" t="n">
        <f aca="false">IFERROR((E21-E20)/E20,0)</f>
        <v>0.0124352331606218</v>
      </c>
      <c r="F22" s="14" t="n">
        <f aca="false">IFERROR((F21-F20)/F20,0)</f>
        <v>-0.0437185929648241</v>
      </c>
      <c r="G22" s="14" t="n">
        <f aca="false">IFERROR((G21-G20)/G20,0)</f>
        <v>0.0232044198895027</v>
      </c>
      <c r="H22" s="14" t="n">
        <f aca="false">IFERROR((H21-H20)/H20,0)</f>
        <v>-0.223580786026201</v>
      </c>
      <c r="I22" s="14" t="n">
        <f aca="false">IFERROR((I21-I20)/I20,0)</f>
        <v>-0.224931506849315</v>
      </c>
      <c r="J22" s="14" t="n">
        <f aca="false">IFERROR((J21-J20)/J20,0)</f>
        <v>0.274705882352941</v>
      </c>
      <c r="K22" s="15" t="n">
        <f aca="false">IFERROR((SUM(D21:J21)-SUM(D20:J20))/SUM(D20:J20),0)</f>
        <v>-0.0662303664921466</v>
      </c>
    </row>
    <row r="23" customFormat="false" ht="15" hidden="false" customHeight="true" outlineLevel="0" collapsed="false">
      <c r="A23" s="42" t="s">
        <v>637</v>
      </c>
      <c r="B23" s="43" t="s">
        <v>638</v>
      </c>
      <c r="C23" s="5" t="s">
        <v>26</v>
      </c>
      <c r="D23" s="6" t="n">
        <v>140</v>
      </c>
      <c r="E23" s="6" t="n">
        <v>150</v>
      </c>
      <c r="F23" s="6" t="n">
        <v>120</v>
      </c>
      <c r="G23" s="6" t="n">
        <v>162</v>
      </c>
      <c r="H23" s="6" t="n">
        <v>197</v>
      </c>
      <c r="I23" s="6" t="n">
        <v>235</v>
      </c>
      <c r="J23" s="6" t="n">
        <v>124</v>
      </c>
      <c r="K23" s="7" t="n">
        <f aca="false">SUM(D23:J23)</f>
        <v>1128</v>
      </c>
    </row>
    <row r="24" customFormat="false" ht="15" hidden="false" customHeight="false" outlineLevel="0" collapsed="false">
      <c r="A24" s="42"/>
      <c r="B24" s="42"/>
      <c r="C24" s="44" t="s">
        <v>14</v>
      </c>
      <c r="D24" s="9" t="n">
        <v>113.4</v>
      </c>
      <c r="E24" s="9" t="n">
        <v>143.9</v>
      </c>
      <c r="F24" s="9" t="n">
        <v>125.4</v>
      </c>
      <c r="G24" s="9" t="n">
        <v>126.4</v>
      </c>
      <c r="H24" s="9" t="n">
        <v>139.2</v>
      </c>
      <c r="I24" s="9" t="n">
        <v>192.6</v>
      </c>
      <c r="J24" s="9" t="n">
        <v>125.4</v>
      </c>
      <c r="K24" s="10" t="n">
        <f aca="false">SUM(D24:J24)</f>
        <v>966.3</v>
      </c>
    </row>
    <row r="25" customFormat="false" ht="15" hidden="false" customHeight="false" outlineLevel="0" collapsed="false">
      <c r="A25" s="42"/>
      <c r="B25" s="42"/>
      <c r="C25" s="11" t="s">
        <v>41</v>
      </c>
      <c r="D25" s="14" t="n">
        <f aca="false">IFERROR((D24-D23)/D23,0)</f>
        <v>-0.19</v>
      </c>
      <c r="E25" s="14" t="n">
        <f aca="false">IFERROR((E24-E23)/E23,0)</f>
        <v>-0.0406666666666666</v>
      </c>
      <c r="F25" s="14" t="n">
        <f aca="false">IFERROR((F24-F23)/F23,0)</f>
        <v>0.0450000000000001</v>
      </c>
      <c r="G25" s="14" t="n">
        <f aca="false">IFERROR((G24-G23)/G23,0)</f>
        <v>-0.219753086419753</v>
      </c>
      <c r="H25" s="14" t="n">
        <f aca="false">IFERROR((H24-H23)/H23,0)</f>
        <v>-0.293401015228426</v>
      </c>
      <c r="I25" s="14" t="n">
        <f aca="false">IFERROR((I24-I23)/I23,0)</f>
        <v>-0.180425531914894</v>
      </c>
      <c r="J25" s="14" t="n">
        <f aca="false">IFERROR((J24-J23)/J23,0)</f>
        <v>0.0112903225806452</v>
      </c>
      <c r="K25" s="15" t="n">
        <f aca="false">IFERROR((SUM(D24:J24)-SUM(D23:J23))/SUM(D23:J23),0)</f>
        <v>-0.143351063829787</v>
      </c>
    </row>
    <row r="26" customFormat="false" ht="15" hidden="false" customHeight="true" outlineLevel="0" collapsed="false">
      <c r="A26" s="42" t="s">
        <v>639</v>
      </c>
      <c r="B26" s="43" t="s">
        <v>640</v>
      </c>
      <c r="C26" s="5" t="s">
        <v>26</v>
      </c>
      <c r="D26" s="6" t="n">
        <v>151</v>
      </c>
      <c r="E26" s="6" t="n">
        <v>158</v>
      </c>
      <c r="F26" s="6" t="n">
        <v>114</v>
      </c>
      <c r="G26" s="6" t="n">
        <v>129</v>
      </c>
      <c r="H26" s="6" t="n">
        <v>155</v>
      </c>
      <c r="I26" s="6" t="n">
        <v>264</v>
      </c>
      <c r="J26" s="6" t="n">
        <v>121</v>
      </c>
      <c r="K26" s="7" t="n">
        <f aca="false">SUM(D26:J26)</f>
        <v>1092</v>
      </c>
    </row>
    <row r="27" customFormat="false" ht="15" hidden="false" customHeight="false" outlineLevel="0" collapsed="false">
      <c r="A27" s="42"/>
      <c r="B27" s="42"/>
      <c r="C27" s="44" t="s">
        <v>14</v>
      </c>
      <c r="D27" s="9" t="n">
        <v>133.4</v>
      </c>
      <c r="E27" s="9" t="n">
        <v>151.4</v>
      </c>
      <c r="F27" s="9" t="n">
        <v>127.1</v>
      </c>
      <c r="G27" s="9" t="n">
        <v>124.5</v>
      </c>
      <c r="H27" s="9" t="n">
        <v>147.5</v>
      </c>
      <c r="I27" s="9" t="n">
        <v>232</v>
      </c>
      <c r="J27" s="9" t="n">
        <v>143.5</v>
      </c>
      <c r="K27" s="10" t="n">
        <f aca="false">SUM(D27:J27)</f>
        <v>1059.4</v>
      </c>
    </row>
    <row r="28" customFormat="false" ht="15" hidden="false" customHeight="false" outlineLevel="0" collapsed="false">
      <c r="A28" s="42"/>
      <c r="B28" s="42"/>
      <c r="C28" s="11" t="s">
        <v>41</v>
      </c>
      <c r="D28" s="14" t="n">
        <f aca="false">IFERROR((D27-D26)/D26,0)</f>
        <v>-0.116556291390728</v>
      </c>
      <c r="E28" s="14" t="n">
        <f aca="false">IFERROR((E27-E26)/E26,0)</f>
        <v>-0.0417721518987341</v>
      </c>
      <c r="F28" s="14" t="n">
        <f aca="false">IFERROR((F27-F26)/F26,0)</f>
        <v>0.114912280701754</v>
      </c>
      <c r="G28" s="14" t="n">
        <f aca="false">IFERROR((G27-G26)/G26,0)</f>
        <v>-0.0348837209302326</v>
      </c>
      <c r="H28" s="14" t="n">
        <f aca="false">IFERROR((H27-H26)/H26,0)</f>
        <v>-0.0483870967741936</v>
      </c>
      <c r="I28" s="14" t="n">
        <f aca="false">IFERROR((I27-I26)/I26,0)</f>
        <v>-0.121212121212121</v>
      </c>
      <c r="J28" s="14" t="n">
        <f aca="false">IFERROR((J27-J26)/J26,0)</f>
        <v>0.185950413223141</v>
      </c>
      <c r="K28" s="15" t="n">
        <f aca="false">IFERROR((SUM(D27:J27)-SUM(D26:J26))/SUM(D26:J26),0)</f>
        <v>-0.0298534798534798</v>
      </c>
    </row>
    <row r="29" customFormat="false" ht="15" hidden="false" customHeight="true" outlineLevel="0" collapsed="false">
      <c r="A29" s="42" t="s">
        <v>641</v>
      </c>
      <c r="B29" s="43" t="s">
        <v>642</v>
      </c>
      <c r="C29" s="5" t="s">
        <v>26</v>
      </c>
      <c r="D29" s="6" t="n">
        <v>159</v>
      </c>
      <c r="E29" s="6" t="n">
        <v>157</v>
      </c>
      <c r="F29" s="6" t="n">
        <v>119</v>
      </c>
      <c r="G29" s="6" t="n">
        <v>119</v>
      </c>
      <c r="H29" s="6" t="n">
        <v>151</v>
      </c>
      <c r="I29" s="6" t="n">
        <v>234</v>
      </c>
      <c r="J29" s="6" t="n">
        <v>136</v>
      </c>
      <c r="K29" s="7" t="n">
        <f aca="false">SUM(D29:J29)</f>
        <v>1075</v>
      </c>
    </row>
    <row r="30" customFormat="false" ht="15" hidden="false" customHeight="false" outlineLevel="0" collapsed="false">
      <c r="A30" s="42"/>
      <c r="B30" s="42"/>
      <c r="C30" s="44" t="s">
        <v>14</v>
      </c>
      <c r="D30" s="9" t="n">
        <v>145.6</v>
      </c>
      <c r="E30" s="9" t="n">
        <v>166.6</v>
      </c>
      <c r="F30" s="9" t="n">
        <v>148.1</v>
      </c>
      <c r="G30" s="9" t="n">
        <v>133.6</v>
      </c>
      <c r="H30" s="9" t="n">
        <v>134.7</v>
      </c>
      <c r="I30" s="9" t="n">
        <v>231.3</v>
      </c>
      <c r="J30" s="9" t="n">
        <v>160.3</v>
      </c>
      <c r="K30" s="10" t="n">
        <f aca="false">SUM(D30:J30)</f>
        <v>1120.2</v>
      </c>
    </row>
    <row r="31" customFormat="false" ht="15" hidden="false" customHeight="false" outlineLevel="0" collapsed="false">
      <c r="A31" s="42"/>
      <c r="B31" s="42"/>
      <c r="C31" s="11" t="s">
        <v>41</v>
      </c>
      <c r="D31" s="14" t="n">
        <f aca="false">IFERROR((D30-D29)/D29,0)</f>
        <v>-0.0842767295597485</v>
      </c>
      <c r="E31" s="14" t="n">
        <f aca="false">IFERROR((E30-E29)/E29,0)</f>
        <v>0.0611464968152866</v>
      </c>
      <c r="F31" s="14" t="n">
        <f aca="false">IFERROR((F30-F29)/F29,0)</f>
        <v>0.24453781512605</v>
      </c>
      <c r="G31" s="14" t="n">
        <f aca="false">IFERROR((G30-G29)/G29,0)</f>
        <v>0.122689075630252</v>
      </c>
      <c r="H31" s="14" t="n">
        <f aca="false">IFERROR((H30-H29)/H29,0)</f>
        <v>-0.10794701986755</v>
      </c>
      <c r="I31" s="14" t="n">
        <f aca="false">IFERROR((I30-I29)/I29,0)</f>
        <v>-0.0115384615384615</v>
      </c>
      <c r="J31" s="14" t="n">
        <f aca="false">IFERROR((J30-J29)/J29,0)</f>
        <v>0.178676470588235</v>
      </c>
      <c r="K31" s="15" t="n">
        <f aca="false">IFERROR((SUM(D30:J30)-SUM(D29:J29))/SUM(D29:J29),0)</f>
        <v>0.042046511627907</v>
      </c>
    </row>
    <row r="32" customFormat="false" ht="15" hidden="false" customHeight="true" outlineLevel="0" collapsed="false">
      <c r="A32" s="42" t="s">
        <v>643</v>
      </c>
      <c r="B32" s="43" t="s">
        <v>644</v>
      </c>
      <c r="C32" s="5" t="s">
        <v>26</v>
      </c>
      <c r="D32" s="6" t="n">
        <v>176</v>
      </c>
      <c r="E32" s="6" t="n">
        <v>157</v>
      </c>
      <c r="F32" s="6" t="n">
        <v>156</v>
      </c>
      <c r="G32" s="6" t="n">
        <v>141</v>
      </c>
      <c r="H32" s="6" t="n">
        <v>135</v>
      </c>
      <c r="I32" s="6" t="n">
        <v>178</v>
      </c>
      <c r="J32" s="6" t="n">
        <v>65</v>
      </c>
      <c r="K32" s="7" t="n">
        <f aca="false">SUM(D32:J32)</f>
        <v>1008</v>
      </c>
    </row>
    <row r="33" customFormat="false" ht="15" hidden="false" customHeight="false" outlineLevel="0" collapsed="false">
      <c r="A33" s="42"/>
      <c r="B33" s="42"/>
      <c r="C33" s="44" t="s">
        <v>14</v>
      </c>
      <c r="D33" s="9" t="n">
        <v>139.7</v>
      </c>
      <c r="E33" s="9" t="n">
        <v>174.6</v>
      </c>
      <c r="F33" s="9" t="n">
        <v>157.5</v>
      </c>
      <c r="G33" s="9" t="n">
        <v>157.6</v>
      </c>
      <c r="H33" s="9" t="n">
        <v>148.4</v>
      </c>
      <c r="I33" s="9" t="n">
        <v>179.1</v>
      </c>
      <c r="J33" s="9" t="n">
        <v>108.8</v>
      </c>
      <c r="K33" s="10" t="n">
        <f aca="false">SUM(D33:J33)</f>
        <v>1065.7</v>
      </c>
    </row>
    <row r="34" customFormat="false" ht="15" hidden="false" customHeight="false" outlineLevel="0" collapsed="false">
      <c r="A34" s="42"/>
      <c r="B34" s="42"/>
      <c r="C34" s="11" t="s">
        <v>41</v>
      </c>
      <c r="D34" s="14" t="n">
        <f aca="false">IFERROR((D33-D32)/D32,0)</f>
        <v>-0.20625</v>
      </c>
      <c r="E34" s="14" t="n">
        <f aca="false">IFERROR((E33-E32)/E32,0)</f>
        <v>0.112101910828025</v>
      </c>
      <c r="F34" s="14" t="n">
        <f aca="false">IFERROR((F33-F32)/F32,0)</f>
        <v>0.00961538461538462</v>
      </c>
      <c r="G34" s="14" t="n">
        <f aca="false">IFERROR((G33-G32)/G32,0)</f>
        <v>0.117730496453901</v>
      </c>
      <c r="H34" s="14" t="n">
        <f aca="false">IFERROR((H33-H32)/H32,0)</f>
        <v>0.0992592592592593</v>
      </c>
      <c r="I34" s="14" t="n">
        <f aca="false">IFERROR((I33-I32)/I32,0)</f>
        <v>0.00617977528089884</v>
      </c>
      <c r="J34" s="14" t="n">
        <f aca="false">IFERROR((J33-J32)/J32,0)</f>
        <v>0.673846153846154</v>
      </c>
      <c r="K34" s="15" t="n">
        <f aca="false">IFERROR((SUM(D33:J33)-SUM(D32:J32))/SUM(D32:J32),0)</f>
        <v>0.0572420634920635</v>
      </c>
    </row>
    <row r="35" customFormat="false" ht="15" hidden="false" customHeight="true" outlineLevel="0" collapsed="false">
      <c r="A35" s="42" t="s">
        <v>645</v>
      </c>
      <c r="B35" s="43" t="s">
        <v>646</v>
      </c>
      <c r="C35" s="5" t="s">
        <v>26</v>
      </c>
      <c r="D35" s="6" t="n">
        <v>151</v>
      </c>
      <c r="E35" s="6" t="n">
        <v>69</v>
      </c>
      <c r="F35" s="6" t="n">
        <v>52</v>
      </c>
      <c r="G35" s="6" t="n">
        <v>131</v>
      </c>
      <c r="H35" s="6" t="n">
        <v>177</v>
      </c>
      <c r="I35" s="6" t="n">
        <v>238</v>
      </c>
      <c r="J35" s="6" t="n">
        <v>126</v>
      </c>
      <c r="K35" s="7" t="n">
        <f aca="false">SUM(D35:J35)</f>
        <v>944</v>
      </c>
    </row>
    <row r="36" customFormat="false" ht="15" hidden="false" customHeight="false" outlineLevel="0" collapsed="false">
      <c r="A36" s="42"/>
      <c r="B36" s="42"/>
      <c r="C36" s="44" t="s">
        <v>14</v>
      </c>
      <c r="D36" s="9" t="n">
        <v>131.9</v>
      </c>
      <c r="E36" s="9" t="n">
        <v>104.1</v>
      </c>
      <c r="F36" s="9" t="n">
        <v>73.2</v>
      </c>
      <c r="G36" s="9" t="n">
        <v>135.6</v>
      </c>
      <c r="H36" s="9" t="n">
        <v>173.4</v>
      </c>
      <c r="I36" s="9" t="n">
        <v>246.1</v>
      </c>
      <c r="J36" s="9" t="n">
        <v>134.6</v>
      </c>
      <c r="K36" s="10" t="n">
        <f aca="false">SUM(D36:J36)</f>
        <v>998.9</v>
      </c>
    </row>
    <row r="37" customFormat="false" ht="15" hidden="false" customHeight="false" outlineLevel="0" collapsed="false">
      <c r="A37" s="42"/>
      <c r="B37" s="42"/>
      <c r="C37" s="11" t="s">
        <v>41</v>
      </c>
      <c r="D37" s="14" t="n">
        <f aca="false">IFERROR((D36-D35)/D35,0)</f>
        <v>-0.126490066225166</v>
      </c>
      <c r="E37" s="14" t="n">
        <f aca="false">IFERROR((E36-E35)/E35,0)</f>
        <v>0.508695652173913</v>
      </c>
      <c r="F37" s="14" t="n">
        <f aca="false">IFERROR((F36-F35)/F35,0)</f>
        <v>0.407692307692308</v>
      </c>
      <c r="G37" s="14" t="n">
        <f aca="false">IFERROR((G36-G35)/G35,0)</f>
        <v>0.0351145038167939</v>
      </c>
      <c r="H37" s="14" t="n">
        <f aca="false">IFERROR((H36-H35)/H35,0)</f>
        <v>-0.0203389830508474</v>
      </c>
      <c r="I37" s="14" t="n">
        <f aca="false">IFERROR((I36-I35)/I35,0)</f>
        <v>0.0340336134453781</v>
      </c>
      <c r="J37" s="14" t="n">
        <f aca="false">IFERROR((J36-J35)/J35,0)</f>
        <v>0.0682539682539682</v>
      </c>
      <c r="K37" s="15" t="n">
        <f aca="false">IFERROR((SUM(D36:J36)-SUM(D35:J35))/SUM(D35:J35),0)</f>
        <v>0.0581567796610169</v>
      </c>
    </row>
    <row r="38" customFormat="false" ht="15" hidden="false" customHeight="true" outlineLevel="0" collapsed="false">
      <c r="A38" s="42" t="s">
        <v>647</v>
      </c>
      <c r="B38" s="43" t="s">
        <v>648</v>
      </c>
      <c r="C38" s="5" t="s">
        <v>26</v>
      </c>
      <c r="D38" s="6" t="n">
        <v>118</v>
      </c>
      <c r="E38" s="6" t="n">
        <v>118</v>
      </c>
      <c r="F38" s="6" t="n">
        <v>88</v>
      </c>
      <c r="G38" s="6" t="n">
        <v>114</v>
      </c>
      <c r="H38" s="6" t="n">
        <v>135</v>
      </c>
      <c r="I38" s="6" t="n">
        <v>255</v>
      </c>
      <c r="J38" s="6" t="n">
        <v>104</v>
      </c>
      <c r="K38" s="7" t="n">
        <f aca="false">SUM(D38:J38)</f>
        <v>932</v>
      </c>
    </row>
    <row r="39" customFormat="false" ht="15" hidden="false" customHeight="false" outlineLevel="0" collapsed="false">
      <c r="A39" s="42"/>
      <c r="B39" s="42"/>
      <c r="C39" s="44" t="s">
        <v>14</v>
      </c>
      <c r="D39" s="9" t="n">
        <v>103.4</v>
      </c>
      <c r="E39" s="9" t="n">
        <v>118.9</v>
      </c>
      <c r="F39" s="9" t="n">
        <v>106.8</v>
      </c>
      <c r="G39" s="9" t="n">
        <v>106.9</v>
      </c>
      <c r="H39" s="9" t="n">
        <v>115.4</v>
      </c>
      <c r="I39" s="9" t="n">
        <v>233.3</v>
      </c>
      <c r="J39" s="9" t="n">
        <v>161.1</v>
      </c>
      <c r="K39" s="10" t="n">
        <f aca="false">SUM(D39:J39)</f>
        <v>945.8</v>
      </c>
    </row>
    <row r="40" customFormat="false" ht="15" hidden="false" customHeight="false" outlineLevel="0" collapsed="false">
      <c r="A40" s="42"/>
      <c r="B40" s="42"/>
      <c r="C40" s="11" t="s">
        <v>41</v>
      </c>
      <c r="D40" s="14" t="n">
        <f aca="false">IFERROR((D39-D38)/D38,0)</f>
        <v>-0.123728813559322</v>
      </c>
      <c r="E40" s="14" t="n">
        <f aca="false">IFERROR((E39-E38)/E38,0)</f>
        <v>0.00762711864406785</v>
      </c>
      <c r="F40" s="14" t="n">
        <f aca="false">IFERROR((F39-F38)/F38,0)</f>
        <v>0.213636363636364</v>
      </c>
      <c r="G40" s="14" t="n">
        <f aca="false">IFERROR((G39-G38)/G38,0)</f>
        <v>-0.0622807017543859</v>
      </c>
      <c r="H40" s="14" t="n">
        <f aca="false">IFERROR((H39-H38)/H38,0)</f>
        <v>-0.145185185185185</v>
      </c>
      <c r="I40" s="14" t="n">
        <f aca="false">IFERROR((I39-I38)/I38,0)</f>
        <v>-0.0850980392156862</v>
      </c>
      <c r="J40" s="14" t="n">
        <f aca="false">IFERROR((J39-J38)/J38,0)</f>
        <v>0.549038461538462</v>
      </c>
      <c r="K40" s="15" t="n">
        <f aca="false">IFERROR((SUM(D39:J39)-SUM(D38:J38))/SUM(D38:J38),0)</f>
        <v>0.0148068669527898</v>
      </c>
    </row>
    <row r="41" customFormat="false" ht="15" hidden="false" customHeight="true" outlineLevel="0" collapsed="false">
      <c r="A41" s="42" t="s">
        <v>649</v>
      </c>
      <c r="B41" s="43" t="s">
        <v>650</v>
      </c>
      <c r="C41" s="5" t="s">
        <v>26</v>
      </c>
      <c r="D41" s="6" t="n">
        <v>82</v>
      </c>
      <c r="E41" s="6" t="n">
        <v>77</v>
      </c>
      <c r="F41" s="6" t="n">
        <v>75</v>
      </c>
      <c r="G41" s="6" t="n">
        <v>82</v>
      </c>
      <c r="H41" s="6" t="n">
        <v>139</v>
      </c>
      <c r="I41" s="6" t="n">
        <v>298</v>
      </c>
      <c r="J41" s="6" t="n">
        <v>129</v>
      </c>
      <c r="K41" s="7" t="n">
        <f aca="false">SUM(D41:J41)</f>
        <v>882</v>
      </c>
    </row>
    <row r="42" customFormat="false" ht="15" hidden="false" customHeight="false" outlineLevel="0" collapsed="false">
      <c r="A42" s="42"/>
      <c r="B42" s="42"/>
      <c r="C42" s="44" t="s">
        <v>14</v>
      </c>
      <c r="D42" s="9" t="n">
        <v>80.7</v>
      </c>
      <c r="E42" s="9" t="n">
        <v>89.6</v>
      </c>
      <c r="F42" s="9" t="n">
        <v>73.8</v>
      </c>
      <c r="G42" s="9" t="n">
        <v>82.8</v>
      </c>
      <c r="H42" s="9" t="n">
        <v>129</v>
      </c>
      <c r="I42" s="9" t="n">
        <v>261</v>
      </c>
      <c r="J42" s="9" t="n">
        <v>136.2</v>
      </c>
      <c r="K42" s="10" t="n">
        <f aca="false">SUM(D42:J42)</f>
        <v>853.1</v>
      </c>
    </row>
    <row r="43" customFormat="false" ht="15" hidden="false" customHeight="false" outlineLevel="0" collapsed="false">
      <c r="A43" s="42"/>
      <c r="B43" s="42"/>
      <c r="C43" s="11" t="s">
        <v>41</v>
      </c>
      <c r="D43" s="14" t="n">
        <f aca="false">IFERROR((D42-D41)/D41,0)</f>
        <v>-0.0158536585365853</v>
      </c>
      <c r="E43" s="14" t="n">
        <f aca="false">IFERROR((E42-E41)/E41,0)</f>
        <v>0.163636363636364</v>
      </c>
      <c r="F43" s="14" t="n">
        <f aca="false">IFERROR((F42-F41)/F41,0)</f>
        <v>-0.016</v>
      </c>
      <c r="G43" s="14" t="n">
        <f aca="false">IFERROR((G42-G41)/G41,0)</f>
        <v>0.00975609756097558</v>
      </c>
      <c r="H43" s="14" t="n">
        <f aca="false">IFERROR((H42-H41)/H41,0)</f>
        <v>-0.0719424460431655</v>
      </c>
      <c r="I43" s="14" t="n">
        <f aca="false">IFERROR((I42-I41)/I41,0)</f>
        <v>-0.124161073825503</v>
      </c>
      <c r="J43" s="14" t="n">
        <f aca="false">IFERROR((J42-J41)/J41,0)</f>
        <v>0.055813953488372</v>
      </c>
      <c r="K43" s="15" t="n">
        <f aca="false">IFERROR((SUM(D42:J42)-SUM(D41:J41))/SUM(D41:J41),0)</f>
        <v>-0.0327664399092972</v>
      </c>
    </row>
    <row r="44" customFormat="false" ht="15" hidden="false" customHeight="true" outlineLevel="0" collapsed="false">
      <c r="A44" s="42" t="s">
        <v>651</v>
      </c>
      <c r="B44" s="43" t="s">
        <v>652</v>
      </c>
      <c r="C44" s="5" t="s">
        <v>26</v>
      </c>
      <c r="D44" s="6" t="n">
        <v>101</v>
      </c>
      <c r="E44" s="6" t="n">
        <v>106</v>
      </c>
      <c r="F44" s="6" t="n">
        <v>84</v>
      </c>
      <c r="G44" s="6" t="n">
        <v>114</v>
      </c>
      <c r="H44" s="6" t="n">
        <v>157</v>
      </c>
      <c r="I44" s="6" t="n">
        <v>219</v>
      </c>
      <c r="J44" s="6" t="n">
        <v>86</v>
      </c>
      <c r="K44" s="7" t="n">
        <f aca="false">SUM(D44:J44)</f>
        <v>867</v>
      </c>
    </row>
    <row r="45" customFormat="false" ht="15" hidden="false" customHeight="false" outlineLevel="0" collapsed="false">
      <c r="A45" s="42"/>
      <c r="B45" s="42"/>
      <c r="C45" s="44" t="s">
        <v>14</v>
      </c>
      <c r="D45" s="9" t="n">
        <v>80.3</v>
      </c>
      <c r="E45" s="9" t="n">
        <v>103.3</v>
      </c>
      <c r="F45" s="9" t="n">
        <v>92.4</v>
      </c>
      <c r="G45" s="9" t="n">
        <v>92.6</v>
      </c>
      <c r="H45" s="9" t="n">
        <v>113.3</v>
      </c>
      <c r="I45" s="9" t="n">
        <v>188</v>
      </c>
      <c r="J45" s="9" t="n">
        <v>99.2</v>
      </c>
      <c r="K45" s="10" t="n">
        <f aca="false">SUM(D45:J45)</f>
        <v>769.1</v>
      </c>
    </row>
    <row r="46" customFormat="false" ht="15" hidden="false" customHeight="false" outlineLevel="0" collapsed="false">
      <c r="A46" s="42"/>
      <c r="B46" s="42"/>
      <c r="C46" s="11" t="s">
        <v>41</v>
      </c>
      <c r="D46" s="14" t="n">
        <f aca="false">IFERROR((D45-D44)/D44,0)</f>
        <v>-0.204950495049505</v>
      </c>
      <c r="E46" s="14" t="n">
        <f aca="false">IFERROR((E45-E44)/E44,0)</f>
        <v>-0.0254716981132076</v>
      </c>
      <c r="F46" s="14" t="n">
        <f aca="false">IFERROR((F45-F44)/F44,0)</f>
        <v>0.1</v>
      </c>
      <c r="G46" s="14" t="n">
        <f aca="false">IFERROR((G45-G44)/G44,0)</f>
        <v>-0.187719298245614</v>
      </c>
      <c r="H46" s="14" t="n">
        <f aca="false">IFERROR((H45-H44)/H44,0)</f>
        <v>-0.278343949044586</v>
      </c>
      <c r="I46" s="14" t="n">
        <f aca="false">IFERROR((I45-I44)/I44,0)</f>
        <v>-0.141552511415525</v>
      </c>
      <c r="J46" s="14" t="n">
        <f aca="false">IFERROR((J45-J44)/J44,0)</f>
        <v>0.153488372093023</v>
      </c>
      <c r="K46" s="15" t="n">
        <f aca="false">IFERROR((SUM(D45:J45)-SUM(D44:J44))/SUM(D44:J44),0)</f>
        <v>-0.112918108419839</v>
      </c>
    </row>
    <row r="47" customFormat="false" ht="15" hidden="false" customHeight="true" outlineLevel="0" collapsed="false">
      <c r="A47" s="42" t="s">
        <v>653</v>
      </c>
      <c r="B47" s="43" t="s">
        <v>654</v>
      </c>
      <c r="C47" s="5" t="s">
        <v>26</v>
      </c>
      <c r="D47" s="6" t="n">
        <v>116</v>
      </c>
      <c r="E47" s="6" t="n">
        <v>115</v>
      </c>
      <c r="F47" s="6" t="n">
        <v>110</v>
      </c>
      <c r="G47" s="6" t="n">
        <v>107</v>
      </c>
      <c r="H47" s="6" t="n">
        <v>140</v>
      </c>
      <c r="I47" s="6" t="n">
        <v>176</v>
      </c>
      <c r="J47" s="6" t="n">
        <v>93</v>
      </c>
      <c r="K47" s="7" t="n">
        <f aca="false">SUM(D47:J47)</f>
        <v>857</v>
      </c>
    </row>
    <row r="48" customFormat="false" ht="15" hidden="false" customHeight="false" outlineLevel="0" collapsed="false">
      <c r="A48" s="42"/>
      <c r="B48" s="42"/>
      <c r="C48" s="44" t="s">
        <v>14</v>
      </c>
      <c r="D48" s="9" t="n">
        <v>122.3</v>
      </c>
      <c r="E48" s="9" t="n">
        <v>126.1</v>
      </c>
      <c r="F48" s="9" t="n">
        <v>109.3</v>
      </c>
      <c r="G48" s="9" t="n">
        <v>135.7</v>
      </c>
      <c r="H48" s="9" t="n">
        <v>125.8</v>
      </c>
      <c r="I48" s="9" t="n">
        <v>172.2</v>
      </c>
      <c r="J48" s="9" t="n">
        <v>135.1</v>
      </c>
      <c r="K48" s="10" t="n">
        <f aca="false">SUM(D48:J48)</f>
        <v>926.5</v>
      </c>
    </row>
    <row r="49" customFormat="false" ht="15" hidden="false" customHeight="false" outlineLevel="0" collapsed="false">
      <c r="A49" s="42"/>
      <c r="B49" s="42"/>
      <c r="C49" s="11" t="s">
        <v>41</v>
      </c>
      <c r="D49" s="14" t="n">
        <f aca="false">IFERROR((D48-D47)/D47,0)</f>
        <v>0.0543103448275862</v>
      </c>
      <c r="E49" s="14" t="n">
        <f aca="false">IFERROR((E48-E47)/E47,0)</f>
        <v>0.0965217391304347</v>
      </c>
      <c r="F49" s="14" t="n">
        <f aca="false">IFERROR((F48-F47)/F47,0)</f>
        <v>-0.00636363636363639</v>
      </c>
      <c r="G49" s="14" t="n">
        <f aca="false">IFERROR((G48-G47)/G47,0)</f>
        <v>0.26822429906542</v>
      </c>
      <c r="H49" s="14" t="n">
        <f aca="false">IFERROR((H48-H47)/H47,0)</f>
        <v>-0.101428571428571</v>
      </c>
      <c r="I49" s="14" t="n">
        <f aca="false">IFERROR((I48-I47)/I47,0)</f>
        <v>-0.0215909090909092</v>
      </c>
      <c r="J49" s="14" t="n">
        <f aca="false">IFERROR((J48-J47)/J47,0)</f>
        <v>0.452688172043011</v>
      </c>
      <c r="K49" s="15" t="n">
        <f aca="false">IFERROR((SUM(D48:J48)-SUM(D47:J47))/SUM(D47:J47),0)</f>
        <v>0.0810968494749125</v>
      </c>
    </row>
    <row r="50" customFormat="false" ht="15" hidden="false" customHeight="true" outlineLevel="0" collapsed="false">
      <c r="A50" s="42" t="s">
        <v>655</v>
      </c>
      <c r="B50" s="43" t="s">
        <v>656</v>
      </c>
      <c r="C50" s="5" t="s">
        <v>26</v>
      </c>
      <c r="D50" s="6" t="n">
        <v>122</v>
      </c>
      <c r="E50" s="6" t="n">
        <v>107</v>
      </c>
      <c r="F50" s="6" t="n">
        <v>103</v>
      </c>
      <c r="G50" s="6" t="n">
        <v>116</v>
      </c>
      <c r="H50" s="6" t="n">
        <v>98</v>
      </c>
      <c r="I50" s="6" t="n">
        <v>175</v>
      </c>
      <c r="J50" s="6" t="n">
        <v>113</v>
      </c>
      <c r="K50" s="7" t="n">
        <f aca="false">SUM(D50:J50)</f>
        <v>834</v>
      </c>
    </row>
    <row r="51" customFormat="false" ht="15" hidden="false" customHeight="false" outlineLevel="0" collapsed="false">
      <c r="A51" s="42"/>
      <c r="B51" s="42"/>
      <c r="C51" s="44" t="s">
        <v>14</v>
      </c>
      <c r="D51" s="9" t="n">
        <v>130</v>
      </c>
      <c r="E51" s="9" t="n">
        <v>134.9</v>
      </c>
      <c r="F51" s="9" t="n">
        <v>105.2</v>
      </c>
      <c r="G51" s="9" t="n">
        <v>113.1</v>
      </c>
      <c r="H51" s="9" t="n">
        <v>118</v>
      </c>
      <c r="I51" s="9" t="n">
        <v>162.3</v>
      </c>
      <c r="J51" s="9" t="n">
        <v>130.7</v>
      </c>
      <c r="K51" s="10" t="n">
        <f aca="false">SUM(D51:J51)</f>
        <v>894.2</v>
      </c>
    </row>
    <row r="52" customFormat="false" ht="15" hidden="false" customHeight="false" outlineLevel="0" collapsed="false">
      <c r="A52" s="42"/>
      <c r="B52" s="42"/>
      <c r="C52" s="11" t="s">
        <v>41</v>
      </c>
      <c r="D52" s="14" t="n">
        <f aca="false">IFERROR((D51-D50)/D50,0)</f>
        <v>0.0655737704918033</v>
      </c>
      <c r="E52" s="14" t="n">
        <f aca="false">IFERROR((E51-E50)/E50,0)</f>
        <v>0.260747663551402</v>
      </c>
      <c r="F52" s="14" t="n">
        <f aca="false">IFERROR((F51-F50)/F50,0)</f>
        <v>0.0213592233009709</v>
      </c>
      <c r="G52" s="14" t="n">
        <f aca="false">IFERROR((G51-G50)/G50,0)</f>
        <v>-0.0250000000000001</v>
      </c>
      <c r="H52" s="14" t="n">
        <f aca="false">IFERROR((H51-H50)/H50,0)</f>
        <v>0.204081632653061</v>
      </c>
      <c r="I52" s="14" t="n">
        <f aca="false">IFERROR((I51-I50)/I50,0)</f>
        <v>-0.0725714285714285</v>
      </c>
      <c r="J52" s="14" t="n">
        <f aca="false">IFERROR((J51-J50)/J50,0)</f>
        <v>0.156637168141593</v>
      </c>
      <c r="K52" s="15" t="n">
        <f aca="false">IFERROR((SUM(D51:J51)-SUM(D50:J50))/SUM(D50:J50),0)</f>
        <v>0.0721822541966428</v>
      </c>
    </row>
    <row r="53" customFormat="false" ht="15" hidden="false" customHeight="true" outlineLevel="0" collapsed="false">
      <c r="A53" s="42" t="s">
        <v>657</v>
      </c>
      <c r="B53" s="43" t="s">
        <v>658</v>
      </c>
      <c r="C53" s="5" t="s">
        <v>26</v>
      </c>
      <c r="D53" s="6" t="n">
        <v>142</v>
      </c>
      <c r="E53" s="6" t="n">
        <v>93</v>
      </c>
      <c r="F53" s="6" t="n">
        <v>111</v>
      </c>
      <c r="G53" s="6" t="n">
        <v>92</v>
      </c>
      <c r="H53" s="6" t="n">
        <v>131</v>
      </c>
      <c r="I53" s="6" t="n">
        <v>173</v>
      </c>
      <c r="J53" s="6" t="n">
        <v>80</v>
      </c>
      <c r="K53" s="7" t="n">
        <f aca="false">SUM(D53:J53)</f>
        <v>822</v>
      </c>
    </row>
    <row r="54" customFormat="false" ht="15" hidden="false" customHeight="false" outlineLevel="0" collapsed="false">
      <c r="A54" s="42"/>
      <c r="B54" s="42"/>
      <c r="C54" s="44" t="s">
        <v>14</v>
      </c>
      <c r="D54" s="9" t="n">
        <v>128.1</v>
      </c>
      <c r="E54" s="9" t="n">
        <v>146.4</v>
      </c>
      <c r="F54" s="9" t="n">
        <v>124.9</v>
      </c>
      <c r="G54" s="9" t="n">
        <v>123.4</v>
      </c>
      <c r="H54" s="9" t="n">
        <v>110.9</v>
      </c>
      <c r="I54" s="9" t="n">
        <v>194.4</v>
      </c>
      <c r="J54" s="9" t="n">
        <v>119.5</v>
      </c>
      <c r="K54" s="10" t="n">
        <f aca="false">SUM(D54:J54)</f>
        <v>947.6</v>
      </c>
    </row>
    <row r="55" customFormat="false" ht="15" hidden="false" customHeight="false" outlineLevel="0" collapsed="false">
      <c r="A55" s="42"/>
      <c r="B55" s="42"/>
      <c r="C55" s="11" t="s">
        <v>41</v>
      </c>
      <c r="D55" s="14" t="n">
        <f aca="false">IFERROR((D54-D53)/D53,0)</f>
        <v>-0.097887323943662</v>
      </c>
      <c r="E55" s="14" t="n">
        <f aca="false">IFERROR((E54-E53)/E53,0)</f>
        <v>0.574193548387097</v>
      </c>
      <c r="F55" s="14" t="n">
        <f aca="false">IFERROR((F54-F53)/F53,0)</f>
        <v>0.125225225225225</v>
      </c>
      <c r="G55" s="14" t="n">
        <f aca="false">IFERROR((G54-G53)/G53,0)</f>
        <v>0.341304347826087</v>
      </c>
      <c r="H55" s="14" t="n">
        <f aca="false">IFERROR((H54-H53)/H53,0)</f>
        <v>-0.153435114503817</v>
      </c>
      <c r="I55" s="14" t="n">
        <f aca="false">IFERROR((I54-I53)/I53,0)</f>
        <v>0.123699421965318</v>
      </c>
      <c r="J55" s="14" t="n">
        <f aca="false">IFERROR((J54-J53)/J53,0)</f>
        <v>0.49375</v>
      </c>
      <c r="K55" s="15" t="n">
        <f aca="false">IFERROR((SUM(D54:J54)-SUM(D53:J53))/SUM(D53:J53),0)</f>
        <v>0.152798053527981</v>
      </c>
    </row>
    <row r="56" customFormat="false" ht="15" hidden="false" customHeight="true" outlineLevel="0" collapsed="false">
      <c r="A56" s="42" t="s">
        <v>659</v>
      </c>
      <c r="B56" s="43" t="s">
        <v>660</v>
      </c>
      <c r="C56" s="5" t="s">
        <v>26</v>
      </c>
      <c r="D56" s="6" t="n">
        <v>129</v>
      </c>
      <c r="E56" s="6" t="n">
        <v>124</v>
      </c>
      <c r="F56" s="6" t="n">
        <v>100</v>
      </c>
      <c r="G56" s="6" t="n">
        <v>107</v>
      </c>
      <c r="H56" s="6" t="n">
        <v>110</v>
      </c>
      <c r="I56" s="6" t="n">
        <v>146</v>
      </c>
      <c r="J56" s="6" t="n">
        <v>83</v>
      </c>
      <c r="K56" s="7" t="n">
        <f aca="false">SUM(D56:J56)</f>
        <v>799</v>
      </c>
    </row>
    <row r="57" customFormat="false" ht="15" hidden="false" customHeight="false" outlineLevel="0" collapsed="false">
      <c r="A57" s="42"/>
      <c r="B57" s="42"/>
      <c r="C57" s="44" t="s">
        <v>14</v>
      </c>
      <c r="D57" s="9" t="n">
        <v>98.4</v>
      </c>
      <c r="E57" s="9" t="n">
        <v>124.1</v>
      </c>
      <c r="F57" s="9" t="n">
        <v>118.6</v>
      </c>
      <c r="G57" s="9" t="n">
        <v>112.8</v>
      </c>
      <c r="H57" s="9" t="n">
        <v>121.3</v>
      </c>
      <c r="I57" s="9" t="n">
        <v>144.3</v>
      </c>
      <c r="J57" s="9" t="n">
        <v>99.3</v>
      </c>
      <c r="K57" s="10" t="n">
        <f aca="false">SUM(D57:J57)</f>
        <v>818.8</v>
      </c>
    </row>
    <row r="58" customFormat="false" ht="15" hidden="false" customHeight="false" outlineLevel="0" collapsed="false">
      <c r="A58" s="42"/>
      <c r="B58" s="42"/>
      <c r="C58" s="11" t="s">
        <v>41</v>
      </c>
      <c r="D58" s="14" t="n">
        <f aca="false">IFERROR((D57-D56)/D56,0)</f>
        <v>-0.237209302325581</v>
      </c>
      <c r="E58" s="14" t="n">
        <f aca="false">IFERROR((E57-E56)/E56,0)</f>
        <v>0.00080645161290318</v>
      </c>
      <c r="F58" s="14" t="n">
        <f aca="false">IFERROR((F57-F56)/F56,0)</f>
        <v>0.186</v>
      </c>
      <c r="G58" s="14" t="n">
        <f aca="false">IFERROR((G57-G56)/G56,0)</f>
        <v>0.0542056074766355</v>
      </c>
      <c r="H58" s="14" t="n">
        <f aca="false">IFERROR((H57-H56)/H56,0)</f>
        <v>0.102727272727273</v>
      </c>
      <c r="I58" s="14" t="n">
        <f aca="false">IFERROR((I57-I56)/I56,0)</f>
        <v>-0.0116438356164383</v>
      </c>
      <c r="J58" s="14" t="n">
        <f aca="false">IFERROR((J57-J56)/J56,0)</f>
        <v>0.196385542168675</v>
      </c>
      <c r="K58" s="15" t="n">
        <f aca="false">IFERROR((SUM(D57:J57)-SUM(D56:J56))/SUM(D56:J56),0)</f>
        <v>0.0247809762202753</v>
      </c>
    </row>
    <row r="59" customFormat="false" ht="15" hidden="false" customHeight="true" outlineLevel="0" collapsed="false">
      <c r="A59" s="42" t="s">
        <v>661</v>
      </c>
      <c r="B59" s="43" t="s">
        <v>662</v>
      </c>
      <c r="C59" s="5" t="s">
        <v>26</v>
      </c>
      <c r="D59" s="6" t="n">
        <v>119</v>
      </c>
      <c r="E59" s="6" t="n">
        <v>118</v>
      </c>
      <c r="F59" s="6" t="n">
        <v>79</v>
      </c>
      <c r="G59" s="6" t="n">
        <v>108</v>
      </c>
      <c r="H59" s="6" t="n">
        <v>103</v>
      </c>
      <c r="I59" s="6" t="n">
        <v>154</v>
      </c>
      <c r="J59" s="6" t="n">
        <v>91</v>
      </c>
      <c r="K59" s="7" t="n">
        <f aca="false">SUM(D59:J59)</f>
        <v>772</v>
      </c>
    </row>
    <row r="60" customFormat="false" ht="15" hidden="false" customHeight="false" outlineLevel="0" collapsed="false">
      <c r="A60" s="42"/>
      <c r="B60" s="42"/>
      <c r="C60" s="44" t="s">
        <v>14</v>
      </c>
      <c r="D60" s="9" t="n">
        <v>124.5</v>
      </c>
      <c r="E60" s="9" t="n">
        <v>120.5</v>
      </c>
      <c r="F60" s="9" t="n">
        <v>109.2</v>
      </c>
      <c r="G60" s="9" t="n">
        <v>104.1</v>
      </c>
      <c r="H60" s="9" t="n">
        <v>112.7</v>
      </c>
      <c r="I60" s="9" t="n">
        <v>160.1</v>
      </c>
      <c r="J60" s="9" t="n">
        <v>101.5</v>
      </c>
      <c r="K60" s="10" t="n">
        <f aca="false">SUM(D60:J60)</f>
        <v>832.6</v>
      </c>
    </row>
    <row r="61" customFormat="false" ht="15" hidden="false" customHeight="false" outlineLevel="0" collapsed="false">
      <c r="A61" s="42"/>
      <c r="B61" s="42"/>
      <c r="C61" s="11" t="s">
        <v>41</v>
      </c>
      <c r="D61" s="14" t="n">
        <f aca="false">IFERROR((D60-D59)/D59,0)</f>
        <v>0.046218487394958</v>
      </c>
      <c r="E61" s="14" t="n">
        <f aca="false">IFERROR((E60-E59)/E59,0)</f>
        <v>0.0211864406779661</v>
      </c>
      <c r="F61" s="14" t="n">
        <f aca="false">IFERROR((F60-F59)/F59,0)</f>
        <v>0.382278481012658</v>
      </c>
      <c r="G61" s="14" t="n">
        <f aca="false">IFERROR((G60-G59)/G59,0)</f>
        <v>-0.0361111111111112</v>
      </c>
      <c r="H61" s="14" t="n">
        <f aca="false">IFERROR((H60-H59)/H59,0)</f>
        <v>0.0941747572815534</v>
      </c>
      <c r="I61" s="14" t="n">
        <f aca="false">IFERROR((I60-I59)/I59,0)</f>
        <v>0.0396103896103896</v>
      </c>
      <c r="J61" s="14" t="n">
        <f aca="false">IFERROR((J60-J59)/J59,0)</f>
        <v>0.115384615384615</v>
      </c>
      <c r="K61" s="15" t="n">
        <f aca="false">IFERROR((SUM(D60:J60)-SUM(D59:J59))/SUM(D59:J59),0)</f>
        <v>0.0784974093264249</v>
      </c>
    </row>
    <row r="62" customFormat="false" ht="15" hidden="false" customHeight="true" outlineLevel="0" collapsed="false">
      <c r="A62" s="42" t="s">
        <v>663</v>
      </c>
      <c r="B62" s="43" t="s">
        <v>664</v>
      </c>
      <c r="C62" s="5" t="s">
        <v>26</v>
      </c>
      <c r="D62" s="6" t="n">
        <v>123</v>
      </c>
      <c r="E62" s="6" t="n">
        <v>98</v>
      </c>
      <c r="F62" s="6" t="n">
        <v>80</v>
      </c>
      <c r="G62" s="6" t="n">
        <v>90</v>
      </c>
      <c r="H62" s="6" t="n">
        <v>102</v>
      </c>
      <c r="I62" s="6" t="n">
        <v>155</v>
      </c>
      <c r="J62" s="6" t="n">
        <v>95</v>
      </c>
      <c r="K62" s="7" t="n">
        <f aca="false">SUM(D62:J62)</f>
        <v>743</v>
      </c>
    </row>
    <row r="63" customFormat="false" ht="15" hidden="false" customHeight="false" outlineLevel="0" collapsed="false">
      <c r="A63" s="42"/>
      <c r="B63" s="42"/>
      <c r="C63" s="44" t="s">
        <v>14</v>
      </c>
      <c r="D63" s="9" t="n">
        <v>115.6</v>
      </c>
      <c r="E63" s="9" t="n">
        <v>116.9</v>
      </c>
      <c r="F63" s="9" t="n">
        <v>102.4</v>
      </c>
      <c r="G63" s="9" t="n">
        <v>95.8</v>
      </c>
      <c r="H63" s="9" t="n">
        <v>94.1</v>
      </c>
      <c r="I63" s="9" t="n">
        <v>153.7</v>
      </c>
      <c r="J63" s="9" t="n">
        <v>115</v>
      </c>
      <c r="K63" s="10" t="n">
        <f aca="false">SUM(D63:J63)</f>
        <v>793.5</v>
      </c>
    </row>
    <row r="64" customFormat="false" ht="15" hidden="false" customHeight="false" outlineLevel="0" collapsed="false">
      <c r="A64" s="42"/>
      <c r="B64" s="42"/>
      <c r="C64" s="11" t="s">
        <v>41</v>
      </c>
      <c r="D64" s="14" t="n">
        <f aca="false">IFERROR((D63-D62)/D62,0)</f>
        <v>-0.0601626016260163</v>
      </c>
      <c r="E64" s="14" t="n">
        <f aca="false">IFERROR((E63-E62)/E62,0)</f>
        <v>0.192857142857143</v>
      </c>
      <c r="F64" s="14" t="n">
        <f aca="false">IFERROR((F63-F62)/F62,0)</f>
        <v>0.28</v>
      </c>
      <c r="G64" s="14" t="n">
        <f aca="false">IFERROR((G63-G62)/G62,0)</f>
        <v>0.0644444444444444</v>
      </c>
      <c r="H64" s="14" t="n">
        <f aca="false">IFERROR((H63-H62)/H62,0)</f>
        <v>-0.0774509803921569</v>
      </c>
      <c r="I64" s="14" t="n">
        <f aca="false">IFERROR((I63-I62)/I62,0)</f>
        <v>-0.00838709677419362</v>
      </c>
      <c r="J64" s="14" t="n">
        <f aca="false">IFERROR((J63-J62)/J62,0)</f>
        <v>0.210526315789474</v>
      </c>
      <c r="K64" s="15" t="n">
        <f aca="false">IFERROR((SUM(D63:J63)-SUM(D62:J62))/SUM(D62:J62),0)</f>
        <v>0.0679676985195155</v>
      </c>
    </row>
    <row r="65" customFormat="false" ht="15" hidden="false" customHeight="true" outlineLevel="0" collapsed="false">
      <c r="A65" s="42" t="s">
        <v>665</v>
      </c>
      <c r="B65" s="43" t="s">
        <v>666</v>
      </c>
      <c r="C65" s="5" t="s">
        <v>26</v>
      </c>
      <c r="D65" s="6" t="n">
        <v>81</v>
      </c>
      <c r="E65" s="6" t="n">
        <v>92</v>
      </c>
      <c r="F65" s="6" t="n">
        <v>93</v>
      </c>
      <c r="G65" s="6" t="n">
        <v>113</v>
      </c>
      <c r="H65" s="6" t="n">
        <v>131</v>
      </c>
      <c r="I65" s="6" t="n">
        <v>145</v>
      </c>
      <c r="J65" s="6" t="n">
        <v>82</v>
      </c>
      <c r="K65" s="7" t="n">
        <f aca="false">SUM(D65:J65)</f>
        <v>737</v>
      </c>
    </row>
    <row r="66" customFormat="false" ht="15" hidden="false" customHeight="false" outlineLevel="0" collapsed="false">
      <c r="A66" s="42"/>
      <c r="B66" s="42"/>
      <c r="C66" s="44" t="s">
        <v>14</v>
      </c>
      <c r="D66" s="9" t="n">
        <v>86.5</v>
      </c>
      <c r="E66" s="9" t="n">
        <v>91.5</v>
      </c>
      <c r="F66" s="9" t="n">
        <v>88.7</v>
      </c>
      <c r="G66" s="9" t="n">
        <v>90.5</v>
      </c>
      <c r="H66" s="9" t="n">
        <v>121.2</v>
      </c>
      <c r="I66" s="9" t="n">
        <v>263.1</v>
      </c>
      <c r="J66" s="9" t="n">
        <v>131.2</v>
      </c>
      <c r="K66" s="10" t="n">
        <f aca="false">SUM(D66:J66)</f>
        <v>872.7</v>
      </c>
    </row>
    <row r="67" customFormat="false" ht="15" hidden="false" customHeight="false" outlineLevel="0" collapsed="false">
      <c r="A67" s="42"/>
      <c r="B67" s="42"/>
      <c r="C67" s="11" t="s">
        <v>41</v>
      </c>
      <c r="D67" s="14" t="n">
        <f aca="false">IFERROR((D66-D65)/D65,0)</f>
        <v>0.0679012345679012</v>
      </c>
      <c r="E67" s="14" t="n">
        <f aca="false">IFERROR((E66-E65)/E65,0)</f>
        <v>-0.00543478260869565</v>
      </c>
      <c r="F67" s="14" t="n">
        <f aca="false">IFERROR((F66-F65)/F65,0)</f>
        <v>-0.0462365591397849</v>
      </c>
      <c r="G67" s="14" t="n">
        <f aca="false">IFERROR((G66-G65)/G65,0)</f>
        <v>-0.199115044247788</v>
      </c>
      <c r="H67" s="14" t="n">
        <f aca="false">IFERROR((H66-H65)/H65,0)</f>
        <v>-0.0748091603053435</v>
      </c>
      <c r="I67" s="14" t="n">
        <f aca="false">IFERROR((I66-I65)/I65,0)</f>
        <v>0.81448275862069</v>
      </c>
      <c r="J67" s="14" t="n">
        <f aca="false">IFERROR((J66-J65)/J65,0)</f>
        <v>0.6</v>
      </c>
      <c r="K67" s="15" t="n">
        <f aca="false">IFERROR((SUM(D66:J66)-SUM(D65:J65))/SUM(D65:J65),0)</f>
        <v>0.184124830393487</v>
      </c>
    </row>
    <row r="68" customFormat="false" ht="15" hidden="false" customHeight="true" outlineLevel="0" collapsed="false">
      <c r="A68" s="42" t="s">
        <v>667</v>
      </c>
      <c r="B68" s="43" t="s">
        <v>668</v>
      </c>
      <c r="C68" s="5" t="s">
        <v>26</v>
      </c>
      <c r="D68" s="6" t="n">
        <v>85</v>
      </c>
      <c r="E68" s="6" t="n">
        <v>78</v>
      </c>
      <c r="F68" s="6" t="n">
        <v>78</v>
      </c>
      <c r="G68" s="6" t="n">
        <v>88</v>
      </c>
      <c r="H68" s="6" t="n">
        <v>110</v>
      </c>
      <c r="I68" s="6" t="n">
        <v>185</v>
      </c>
      <c r="J68" s="6" t="n">
        <v>81</v>
      </c>
      <c r="K68" s="7" t="n">
        <f aca="false">SUM(D68:J68)</f>
        <v>705</v>
      </c>
    </row>
    <row r="69" customFormat="false" ht="15" hidden="false" customHeight="false" outlineLevel="0" collapsed="false">
      <c r="A69" s="42"/>
      <c r="B69" s="42"/>
      <c r="C69" s="44" t="s">
        <v>14</v>
      </c>
      <c r="D69" s="9" t="n">
        <v>76.8</v>
      </c>
      <c r="E69" s="9" t="n">
        <v>95.1</v>
      </c>
      <c r="F69" s="9" t="n">
        <v>98.9</v>
      </c>
      <c r="G69" s="9" t="n">
        <v>118.7</v>
      </c>
      <c r="H69" s="9" t="n">
        <v>118.1</v>
      </c>
      <c r="I69" s="9" t="n">
        <v>217.6</v>
      </c>
      <c r="J69" s="9" t="n">
        <v>135.2</v>
      </c>
      <c r="K69" s="10" t="n">
        <f aca="false">SUM(D69:J69)</f>
        <v>860.4</v>
      </c>
    </row>
    <row r="70" customFormat="false" ht="15" hidden="false" customHeight="false" outlineLevel="0" collapsed="false">
      <c r="A70" s="42"/>
      <c r="B70" s="42"/>
      <c r="C70" s="11" t="s">
        <v>41</v>
      </c>
      <c r="D70" s="14" t="n">
        <f aca="false">IFERROR((D69-D68)/D68,0)</f>
        <v>-0.0964705882352942</v>
      </c>
      <c r="E70" s="14" t="n">
        <f aca="false">IFERROR((E69-E68)/E68,0)</f>
        <v>0.219230769230769</v>
      </c>
      <c r="F70" s="14" t="n">
        <f aca="false">IFERROR((F69-F68)/F68,0)</f>
        <v>0.267948717948718</v>
      </c>
      <c r="G70" s="14" t="n">
        <f aca="false">IFERROR((G69-G68)/G68,0)</f>
        <v>0.348863636363636</v>
      </c>
      <c r="H70" s="14" t="n">
        <f aca="false">IFERROR((H69-H68)/H68,0)</f>
        <v>0.0736363636363636</v>
      </c>
      <c r="I70" s="14" t="n">
        <f aca="false">IFERROR((I69-I68)/I68,0)</f>
        <v>0.176216216216216</v>
      </c>
      <c r="J70" s="14" t="n">
        <f aca="false">IFERROR((J69-J68)/J68,0)</f>
        <v>0.669135802469136</v>
      </c>
      <c r="K70" s="15" t="n">
        <f aca="false">IFERROR((SUM(D69:J69)-SUM(D68:J68))/SUM(D68:J68),0)</f>
        <v>0.220425531914894</v>
      </c>
    </row>
    <row r="71" customFormat="false" ht="15" hidden="false" customHeight="true" outlineLevel="0" collapsed="false">
      <c r="A71" s="42" t="s">
        <v>669</v>
      </c>
      <c r="B71" s="43" t="s">
        <v>670</v>
      </c>
      <c r="C71" s="5" t="s">
        <v>26</v>
      </c>
      <c r="D71" s="6" t="n">
        <v>112</v>
      </c>
      <c r="E71" s="6" t="n">
        <v>137</v>
      </c>
      <c r="F71" s="6" t="n">
        <v>104</v>
      </c>
      <c r="G71" s="6" t="n">
        <v>79</v>
      </c>
      <c r="H71" s="6" t="n">
        <v>54</v>
      </c>
      <c r="I71" s="6" t="n">
        <v>92</v>
      </c>
      <c r="J71" s="6" t="n">
        <v>39</v>
      </c>
      <c r="K71" s="7" t="n">
        <f aca="false">SUM(D71:J71)</f>
        <v>617</v>
      </c>
    </row>
    <row r="72" customFormat="false" ht="15" hidden="false" customHeight="false" outlineLevel="0" collapsed="false">
      <c r="A72" s="42"/>
      <c r="B72" s="42"/>
      <c r="C72" s="44" t="s">
        <v>14</v>
      </c>
      <c r="D72" s="9" t="n">
        <v>104.3</v>
      </c>
      <c r="E72" s="9" t="n">
        <v>128.2</v>
      </c>
      <c r="F72" s="9" t="n">
        <v>128.9</v>
      </c>
      <c r="G72" s="9" t="n">
        <v>96.6</v>
      </c>
      <c r="H72" s="9" t="n">
        <v>75.5</v>
      </c>
      <c r="I72" s="9" t="n">
        <v>102.6</v>
      </c>
      <c r="J72" s="9" t="n">
        <v>55.4</v>
      </c>
      <c r="K72" s="10" t="n">
        <f aca="false">SUM(D72:J72)</f>
        <v>691.5</v>
      </c>
    </row>
    <row r="73" customFormat="false" ht="15" hidden="false" customHeight="false" outlineLevel="0" collapsed="false">
      <c r="A73" s="42"/>
      <c r="B73" s="42"/>
      <c r="C73" s="11" t="s">
        <v>41</v>
      </c>
      <c r="D73" s="14" t="n">
        <f aca="false">IFERROR((D72-D71)/D71,0)</f>
        <v>-0.06875</v>
      </c>
      <c r="E73" s="14" t="n">
        <f aca="false">IFERROR((E72-E71)/E71,0)</f>
        <v>-0.0642335766423359</v>
      </c>
      <c r="F73" s="14" t="n">
        <f aca="false">IFERROR((F72-F71)/F71,0)</f>
        <v>0.239423076923077</v>
      </c>
      <c r="G73" s="14" t="n">
        <f aca="false">IFERROR((G72-G71)/G71,0)</f>
        <v>0.222784810126582</v>
      </c>
      <c r="H73" s="14" t="n">
        <f aca="false">IFERROR((H72-H71)/H71,0)</f>
        <v>0.398148148148148</v>
      </c>
      <c r="I73" s="14" t="n">
        <f aca="false">IFERROR((I72-I71)/I71,0)</f>
        <v>0.115217391304348</v>
      </c>
      <c r="J73" s="14" t="n">
        <f aca="false">IFERROR((J72-J71)/J71,0)</f>
        <v>0.42051282051282</v>
      </c>
      <c r="K73" s="15" t="n">
        <f aca="false">IFERROR((SUM(D72:J72)-SUM(D71:J71))/SUM(D71:J71),0)</f>
        <v>0.120745542949757</v>
      </c>
    </row>
    <row r="74" customFormat="false" ht="15" hidden="false" customHeight="true" outlineLevel="0" collapsed="false">
      <c r="A74" s="42" t="s">
        <v>671</v>
      </c>
      <c r="B74" s="43" t="s">
        <v>672</v>
      </c>
      <c r="C74" s="5" t="s">
        <v>26</v>
      </c>
      <c r="D74" s="6" t="n">
        <v>102</v>
      </c>
      <c r="E74" s="6" t="n">
        <v>89</v>
      </c>
      <c r="F74" s="6" t="n">
        <v>82</v>
      </c>
      <c r="G74" s="6" t="n">
        <v>71</v>
      </c>
      <c r="H74" s="6" t="n">
        <v>89</v>
      </c>
      <c r="I74" s="6" t="n">
        <v>105</v>
      </c>
      <c r="J74" s="6" t="n">
        <v>71</v>
      </c>
      <c r="K74" s="7" t="n">
        <f aca="false">SUM(D74:J74)</f>
        <v>609</v>
      </c>
    </row>
    <row r="75" customFormat="false" ht="15" hidden="false" customHeight="false" outlineLevel="0" collapsed="false">
      <c r="A75" s="42"/>
      <c r="B75" s="42"/>
      <c r="C75" s="44" t="s">
        <v>14</v>
      </c>
      <c r="D75" s="9" t="n">
        <v>84.9</v>
      </c>
      <c r="E75" s="9" t="n">
        <v>109.2</v>
      </c>
      <c r="F75" s="9" t="n">
        <v>93.9</v>
      </c>
      <c r="G75" s="9" t="n">
        <v>101.4</v>
      </c>
      <c r="H75" s="9" t="n">
        <v>97.3</v>
      </c>
      <c r="I75" s="9" t="n">
        <v>131.5</v>
      </c>
      <c r="J75" s="9" t="n">
        <v>78</v>
      </c>
      <c r="K75" s="10" t="n">
        <f aca="false">SUM(D75:J75)</f>
        <v>696.2</v>
      </c>
    </row>
    <row r="76" customFormat="false" ht="15" hidden="false" customHeight="false" outlineLevel="0" collapsed="false">
      <c r="A76" s="42"/>
      <c r="B76" s="42"/>
      <c r="C76" s="11" t="s">
        <v>41</v>
      </c>
      <c r="D76" s="14" t="n">
        <f aca="false">IFERROR((D75-D74)/D74,0)</f>
        <v>-0.167647058823529</v>
      </c>
      <c r="E76" s="14" t="n">
        <f aca="false">IFERROR((E75-E74)/E74,0)</f>
        <v>0.226966292134832</v>
      </c>
      <c r="F76" s="14" t="n">
        <f aca="false">IFERROR((F75-F74)/F74,0)</f>
        <v>0.145121951219512</v>
      </c>
      <c r="G76" s="14" t="n">
        <f aca="false">IFERROR((G75-G74)/G74,0)</f>
        <v>0.428169014084507</v>
      </c>
      <c r="H76" s="14" t="n">
        <f aca="false">IFERROR((H75-H74)/H74,0)</f>
        <v>0.0932584269662921</v>
      </c>
      <c r="I76" s="14" t="n">
        <f aca="false">IFERROR((I75-I74)/I74,0)</f>
        <v>0.252380952380952</v>
      </c>
      <c r="J76" s="14" t="n">
        <f aca="false">IFERROR((J75-J74)/J74,0)</f>
        <v>0.0985915492957746</v>
      </c>
      <c r="K76" s="15" t="n">
        <f aca="false">IFERROR((SUM(D75:J75)-SUM(D74:J74))/SUM(D74:J74),0)</f>
        <v>0.143185550082102</v>
      </c>
    </row>
    <row r="77" customFormat="false" ht="15" hidden="false" customHeight="true" outlineLevel="0" collapsed="false">
      <c r="A77" s="42" t="s">
        <v>673</v>
      </c>
      <c r="B77" s="43" t="s">
        <v>674</v>
      </c>
      <c r="C77" s="5" t="s">
        <v>26</v>
      </c>
      <c r="D77" s="6" t="n">
        <v>74</v>
      </c>
      <c r="E77" s="6" t="n">
        <v>82</v>
      </c>
      <c r="F77" s="6" t="n">
        <v>68</v>
      </c>
      <c r="G77" s="6" t="n">
        <v>81</v>
      </c>
      <c r="H77" s="6" t="n">
        <v>86</v>
      </c>
      <c r="I77" s="6" t="n">
        <v>129</v>
      </c>
      <c r="J77" s="6" t="n">
        <v>83</v>
      </c>
      <c r="K77" s="7" t="n">
        <f aca="false">SUM(D77:J77)</f>
        <v>603</v>
      </c>
    </row>
    <row r="78" customFormat="false" ht="15" hidden="false" customHeight="false" outlineLevel="0" collapsed="false">
      <c r="A78" s="42"/>
      <c r="B78" s="42"/>
      <c r="C78" s="44" t="s">
        <v>14</v>
      </c>
      <c r="D78" s="9" t="n">
        <v>77</v>
      </c>
      <c r="E78" s="9" t="n">
        <v>88.8</v>
      </c>
      <c r="F78" s="9" t="n">
        <v>88</v>
      </c>
      <c r="G78" s="9" t="n">
        <v>80.1</v>
      </c>
      <c r="H78" s="9" t="n">
        <v>89</v>
      </c>
      <c r="I78" s="9" t="n">
        <v>156.5</v>
      </c>
      <c r="J78" s="9" t="n">
        <v>102.2</v>
      </c>
      <c r="K78" s="10" t="n">
        <f aca="false">SUM(D78:J78)</f>
        <v>681.6</v>
      </c>
    </row>
    <row r="79" customFormat="false" ht="15" hidden="false" customHeight="false" outlineLevel="0" collapsed="false">
      <c r="A79" s="42"/>
      <c r="B79" s="42"/>
      <c r="C79" s="11" t="s">
        <v>41</v>
      </c>
      <c r="D79" s="14" t="n">
        <f aca="false">IFERROR((D78-D77)/D77,0)</f>
        <v>0.0405405405405405</v>
      </c>
      <c r="E79" s="14" t="n">
        <f aca="false">IFERROR((E78-E77)/E77,0)</f>
        <v>0.0829268292682927</v>
      </c>
      <c r="F79" s="14" t="n">
        <f aca="false">IFERROR((F78-F77)/F77,0)</f>
        <v>0.294117647058824</v>
      </c>
      <c r="G79" s="14" t="n">
        <f aca="false">IFERROR((G78-G77)/G77,0)</f>
        <v>-0.0111111111111112</v>
      </c>
      <c r="H79" s="14" t="n">
        <f aca="false">IFERROR((H78-H77)/H77,0)</f>
        <v>0.0348837209302326</v>
      </c>
      <c r="I79" s="14" t="n">
        <f aca="false">IFERROR((I78-I77)/I77,0)</f>
        <v>0.213178294573643</v>
      </c>
      <c r="J79" s="14" t="n">
        <f aca="false">IFERROR((J78-J77)/J77,0)</f>
        <v>0.231325301204819</v>
      </c>
      <c r="K79" s="15" t="n">
        <f aca="false">IFERROR((SUM(D78:J78)-SUM(D77:J77))/SUM(D77:J77),0)</f>
        <v>0.130348258706468</v>
      </c>
    </row>
    <row r="80" customFormat="false" ht="15" hidden="false" customHeight="true" outlineLevel="0" collapsed="false">
      <c r="A80" s="42" t="s">
        <v>675</v>
      </c>
      <c r="B80" s="43" t="s">
        <v>676</v>
      </c>
      <c r="C80" s="5" t="s">
        <v>26</v>
      </c>
      <c r="D80" s="6" t="n">
        <v>73</v>
      </c>
      <c r="E80" s="6" t="n">
        <v>81</v>
      </c>
      <c r="F80" s="6" t="n">
        <v>67</v>
      </c>
      <c r="G80" s="6" t="n">
        <v>78</v>
      </c>
      <c r="H80" s="6" t="n">
        <v>91</v>
      </c>
      <c r="I80" s="6" t="n">
        <v>134</v>
      </c>
      <c r="J80" s="6" t="n">
        <v>64</v>
      </c>
      <c r="K80" s="7" t="n">
        <f aca="false">SUM(D80:J80)</f>
        <v>588</v>
      </c>
    </row>
    <row r="81" customFormat="false" ht="15" hidden="false" customHeight="false" outlineLevel="0" collapsed="false">
      <c r="A81" s="42"/>
      <c r="B81" s="42"/>
      <c r="C81" s="44" t="s">
        <v>14</v>
      </c>
      <c r="D81" s="9" t="n">
        <v>68.1</v>
      </c>
      <c r="E81" s="9" t="n">
        <v>77.9</v>
      </c>
      <c r="F81" s="9" t="n">
        <v>68.7</v>
      </c>
      <c r="G81" s="9" t="n">
        <v>64.8</v>
      </c>
      <c r="H81" s="9" t="n">
        <v>68.6</v>
      </c>
      <c r="I81" s="9" t="n">
        <v>138.6</v>
      </c>
      <c r="J81" s="9" t="n">
        <v>90.9</v>
      </c>
      <c r="K81" s="10" t="n">
        <f aca="false">SUM(D81:J81)</f>
        <v>577.6</v>
      </c>
    </row>
    <row r="82" customFormat="false" ht="15" hidden="false" customHeight="false" outlineLevel="0" collapsed="false">
      <c r="A82" s="42"/>
      <c r="B82" s="42"/>
      <c r="C82" s="11" t="s">
        <v>41</v>
      </c>
      <c r="D82" s="14" t="n">
        <f aca="false">IFERROR((D81-D80)/D80,0)</f>
        <v>-0.067123287671233</v>
      </c>
      <c r="E82" s="14" t="n">
        <f aca="false">IFERROR((E81-E80)/E80,0)</f>
        <v>-0.0382716049382715</v>
      </c>
      <c r="F82" s="14" t="n">
        <f aca="false">IFERROR((F81-F80)/F80,0)</f>
        <v>0.0253731343283583</v>
      </c>
      <c r="G82" s="14" t="n">
        <f aca="false">IFERROR((G81-G80)/G80,0)</f>
        <v>-0.169230769230769</v>
      </c>
      <c r="H82" s="14" t="n">
        <f aca="false">IFERROR((H81-H80)/H80,0)</f>
        <v>-0.246153846153846</v>
      </c>
      <c r="I82" s="14" t="n">
        <f aca="false">IFERROR((I81-I80)/I80,0)</f>
        <v>0.0343283582089552</v>
      </c>
      <c r="J82" s="14" t="n">
        <f aca="false">IFERROR((J81-J80)/J80,0)</f>
        <v>0.4203125</v>
      </c>
      <c r="K82" s="15" t="n">
        <f aca="false">IFERROR((SUM(D81:J81)-SUM(D80:J80))/SUM(D80:J80),0)</f>
        <v>-0.0176870748299319</v>
      </c>
    </row>
    <row r="83" customFormat="false" ht="15" hidden="false" customHeight="true" outlineLevel="0" collapsed="false">
      <c r="A83" s="42" t="s">
        <v>677</v>
      </c>
      <c r="B83" s="43" t="s">
        <v>678</v>
      </c>
      <c r="C83" s="5" t="s">
        <v>26</v>
      </c>
      <c r="D83" s="6" t="n">
        <v>36</v>
      </c>
      <c r="E83" s="6" t="n">
        <v>36</v>
      </c>
      <c r="F83" s="6" t="n">
        <v>36</v>
      </c>
      <c r="G83" s="6" t="n">
        <v>54</v>
      </c>
      <c r="H83" s="6" t="n">
        <v>103</v>
      </c>
      <c r="I83" s="6" t="n">
        <v>257</v>
      </c>
      <c r="J83" s="6" t="n">
        <v>58</v>
      </c>
      <c r="K83" s="7" t="n">
        <f aca="false">SUM(D83:J83)</f>
        <v>580</v>
      </c>
    </row>
    <row r="84" customFormat="false" ht="15" hidden="false" customHeight="false" outlineLevel="0" collapsed="false">
      <c r="A84" s="42"/>
      <c r="B84" s="42"/>
      <c r="C84" s="44" t="s">
        <v>14</v>
      </c>
      <c r="D84" s="9" t="n">
        <v>46.7</v>
      </c>
      <c r="E84" s="9" t="n">
        <v>47.2</v>
      </c>
      <c r="F84" s="9" t="n">
        <v>39.9</v>
      </c>
      <c r="G84" s="9" t="n">
        <v>45.2</v>
      </c>
      <c r="H84" s="9" t="n">
        <v>68.9</v>
      </c>
      <c r="I84" s="9" t="n">
        <v>165.2</v>
      </c>
      <c r="J84" s="9" t="n">
        <v>78.7</v>
      </c>
      <c r="K84" s="10" t="n">
        <f aca="false">SUM(D84:J84)</f>
        <v>491.8</v>
      </c>
    </row>
    <row r="85" customFormat="false" ht="15" hidden="false" customHeight="false" outlineLevel="0" collapsed="false">
      <c r="A85" s="42"/>
      <c r="B85" s="42"/>
      <c r="C85" s="11" t="s">
        <v>41</v>
      </c>
      <c r="D85" s="14" t="n">
        <f aca="false">IFERROR((D84-D83)/D83,0)</f>
        <v>0.297222222222222</v>
      </c>
      <c r="E85" s="14" t="n">
        <f aca="false">IFERROR((E84-E83)/E83,0)</f>
        <v>0.311111111111111</v>
      </c>
      <c r="F85" s="14" t="n">
        <f aca="false">IFERROR((F84-F83)/F83,0)</f>
        <v>0.108333333333333</v>
      </c>
      <c r="G85" s="14" t="n">
        <f aca="false">IFERROR((G84-G83)/G83,0)</f>
        <v>-0.162962962962963</v>
      </c>
      <c r="H85" s="14" t="n">
        <f aca="false">IFERROR((H84-H83)/H83,0)</f>
        <v>-0.331067961165049</v>
      </c>
      <c r="I85" s="14" t="n">
        <f aca="false">IFERROR((I84-I83)/I83,0)</f>
        <v>-0.357198443579767</v>
      </c>
      <c r="J85" s="14" t="n">
        <f aca="false">IFERROR((J84-J83)/J83,0)</f>
        <v>0.356896551724138</v>
      </c>
      <c r="K85" s="15" t="n">
        <f aca="false">IFERROR((SUM(D84:J84)-SUM(D83:J83))/SUM(D83:J83),0)</f>
        <v>-0.152068965517241</v>
      </c>
    </row>
    <row r="86" customFormat="false" ht="15" hidden="false" customHeight="true" outlineLevel="0" collapsed="false">
      <c r="A86" s="42" t="s">
        <v>679</v>
      </c>
      <c r="B86" s="43" t="s">
        <v>680</v>
      </c>
      <c r="C86" s="5" t="s">
        <v>26</v>
      </c>
      <c r="D86" s="6" t="n">
        <v>61</v>
      </c>
      <c r="E86" s="6" t="n">
        <v>53</v>
      </c>
      <c r="F86" s="6" t="n">
        <v>72</v>
      </c>
      <c r="G86" s="6" t="n">
        <v>60</v>
      </c>
      <c r="H86" s="6" t="n">
        <v>79</v>
      </c>
      <c r="I86" s="6" t="n">
        <v>134</v>
      </c>
      <c r="J86" s="6" t="n">
        <v>61</v>
      </c>
      <c r="K86" s="7" t="n">
        <f aca="false">SUM(D86:J86)</f>
        <v>520</v>
      </c>
    </row>
    <row r="87" customFormat="false" ht="15" hidden="false" customHeight="false" outlineLevel="0" collapsed="false">
      <c r="A87" s="42"/>
      <c r="B87" s="42"/>
      <c r="C87" s="44" t="s">
        <v>14</v>
      </c>
      <c r="D87" s="9" t="n">
        <v>61.7</v>
      </c>
      <c r="E87" s="9" t="n">
        <v>69.2</v>
      </c>
      <c r="F87" s="9" t="n">
        <v>67.8</v>
      </c>
      <c r="G87" s="9" t="n">
        <v>70.9</v>
      </c>
      <c r="H87" s="9" t="n">
        <v>74.9</v>
      </c>
      <c r="I87" s="9" t="n">
        <v>158.2</v>
      </c>
      <c r="J87" s="9" t="n">
        <v>96.9</v>
      </c>
      <c r="K87" s="10" t="n">
        <f aca="false">SUM(D87:J87)</f>
        <v>599.6</v>
      </c>
    </row>
    <row r="88" customFormat="false" ht="15" hidden="false" customHeight="false" outlineLevel="0" collapsed="false">
      <c r="A88" s="42"/>
      <c r="B88" s="42"/>
      <c r="C88" s="11" t="s">
        <v>41</v>
      </c>
      <c r="D88" s="14" t="n">
        <f aca="false">IFERROR((D87-D86)/D86,0)</f>
        <v>0.0114754098360656</v>
      </c>
      <c r="E88" s="14" t="n">
        <f aca="false">IFERROR((E87-E86)/E86,0)</f>
        <v>0.305660377358491</v>
      </c>
      <c r="F88" s="14" t="n">
        <f aca="false">IFERROR((F87-F86)/F86,0)</f>
        <v>-0.0583333333333334</v>
      </c>
      <c r="G88" s="14" t="n">
        <f aca="false">IFERROR((G87-G86)/G86,0)</f>
        <v>0.181666666666667</v>
      </c>
      <c r="H88" s="14" t="n">
        <f aca="false">IFERROR((H87-H86)/H86,0)</f>
        <v>-0.0518987341772151</v>
      </c>
      <c r="I88" s="14" t="n">
        <f aca="false">IFERROR((I87-I86)/I86,0)</f>
        <v>0.180597014925373</v>
      </c>
      <c r="J88" s="14" t="n">
        <f aca="false">IFERROR((J87-J86)/J86,0)</f>
        <v>0.588524590163935</v>
      </c>
      <c r="K88" s="15" t="n">
        <f aca="false">IFERROR((SUM(D87:J87)-SUM(D86:J86))/SUM(D86:J86),0)</f>
        <v>0.153076923076923</v>
      </c>
    </row>
    <row r="89" customFormat="false" ht="15" hidden="false" customHeight="true" outlineLevel="0" collapsed="false">
      <c r="A89" s="42" t="s">
        <v>681</v>
      </c>
      <c r="B89" s="43" t="s">
        <v>682</v>
      </c>
      <c r="C89" s="5" t="s">
        <v>26</v>
      </c>
      <c r="D89" s="6" t="n">
        <v>67</v>
      </c>
      <c r="E89" s="6" t="n">
        <v>74</v>
      </c>
      <c r="F89" s="6" t="n">
        <v>64</v>
      </c>
      <c r="G89" s="6" t="n">
        <v>68</v>
      </c>
      <c r="H89" s="6" t="n">
        <v>82</v>
      </c>
      <c r="I89" s="6" t="n">
        <v>114</v>
      </c>
      <c r="J89" s="6" t="n">
        <v>45</v>
      </c>
      <c r="K89" s="7" t="n">
        <f aca="false">SUM(D89:J89)</f>
        <v>514</v>
      </c>
    </row>
    <row r="90" customFormat="false" ht="15" hidden="false" customHeight="false" outlineLevel="0" collapsed="false">
      <c r="A90" s="42"/>
      <c r="B90" s="42"/>
      <c r="C90" s="44" t="s">
        <v>14</v>
      </c>
      <c r="D90" s="9" t="n">
        <v>70</v>
      </c>
      <c r="E90" s="9" t="n">
        <v>74.3</v>
      </c>
      <c r="F90" s="9" t="n">
        <v>68.3</v>
      </c>
      <c r="G90" s="9" t="n">
        <v>74.2</v>
      </c>
      <c r="H90" s="9" t="n">
        <v>71.8</v>
      </c>
      <c r="I90" s="9" t="n">
        <v>142.3</v>
      </c>
      <c r="J90" s="9" t="n">
        <v>95.8</v>
      </c>
      <c r="K90" s="10" t="n">
        <f aca="false">SUM(D90:J90)</f>
        <v>596.7</v>
      </c>
    </row>
    <row r="91" customFormat="false" ht="15" hidden="false" customHeight="false" outlineLevel="0" collapsed="false">
      <c r="A91" s="42"/>
      <c r="B91" s="42"/>
      <c r="C91" s="11" t="s">
        <v>41</v>
      </c>
      <c r="D91" s="14" t="n">
        <f aca="false">IFERROR((D90-D89)/D89,0)</f>
        <v>0.0447761194029851</v>
      </c>
      <c r="E91" s="14" t="n">
        <f aca="false">IFERROR((E90-E89)/E89,0)</f>
        <v>0.00405405405405402</v>
      </c>
      <c r="F91" s="14" t="n">
        <f aca="false">IFERROR((F90-F89)/F89,0)</f>
        <v>0.0671875</v>
      </c>
      <c r="G91" s="14" t="n">
        <f aca="false">IFERROR((G90-G89)/G89,0)</f>
        <v>0.0911764705882353</v>
      </c>
      <c r="H91" s="14" t="n">
        <f aca="false">IFERROR((H90-H89)/H89,0)</f>
        <v>-0.124390243902439</v>
      </c>
      <c r="I91" s="14" t="n">
        <f aca="false">IFERROR((I90-I89)/I89,0)</f>
        <v>0.248245614035088</v>
      </c>
      <c r="J91" s="14" t="n">
        <f aca="false">IFERROR((J90-J89)/J89,0)</f>
        <v>1.12888888888889</v>
      </c>
      <c r="K91" s="15" t="n">
        <f aca="false">IFERROR((SUM(D90:J90)-SUM(D89:J89))/SUM(D89:J89),0)</f>
        <v>0.160894941634241</v>
      </c>
    </row>
    <row r="92" customFormat="false" ht="15" hidden="false" customHeight="true" outlineLevel="0" collapsed="false">
      <c r="A92" s="42" t="s">
        <v>683</v>
      </c>
      <c r="B92" s="43" t="s">
        <v>684</v>
      </c>
      <c r="C92" s="5" t="s">
        <v>26</v>
      </c>
      <c r="D92" s="6" t="n">
        <v>62</v>
      </c>
      <c r="E92" s="6" t="n">
        <v>61</v>
      </c>
      <c r="F92" s="6" t="n">
        <v>66</v>
      </c>
      <c r="G92" s="6" t="n">
        <v>64</v>
      </c>
      <c r="H92" s="6" t="n">
        <v>48</v>
      </c>
      <c r="I92" s="6" t="n">
        <v>63</v>
      </c>
      <c r="J92" s="6" t="n">
        <v>21</v>
      </c>
      <c r="K92" s="7" t="n">
        <f aca="false">SUM(D92:J92)</f>
        <v>385</v>
      </c>
    </row>
    <row r="93" customFormat="false" ht="15" hidden="false" customHeight="false" outlineLevel="0" collapsed="false">
      <c r="A93" s="42"/>
      <c r="B93" s="42"/>
      <c r="C93" s="44" t="s">
        <v>14</v>
      </c>
      <c r="D93" s="9" t="n">
        <v>62.4</v>
      </c>
      <c r="E93" s="9" t="n">
        <v>63.9</v>
      </c>
      <c r="F93" s="9" t="n">
        <v>57.3</v>
      </c>
      <c r="G93" s="9" t="n">
        <v>50.3</v>
      </c>
      <c r="H93" s="9" t="n">
        <v>43.5</v>
      </c>
      <c r="I93" s="9" t="n">
        <v>60.5</v>
      </c>
      <c r="J93" s="9" t="n">
        <v>43</v>
      </c>
      <c r="K93" s="10" t="n">
        <f aca="false">SUM(D93:J93)</f>
        <v>380.9</v>
      </c>
    </row>
    <row r="94" customFormat="false" ht="15" hidden="false" customHeight="false" outlineLevel="0" collapsed="false">
      <c r="A94" s="42"/>
      <c r="B94" s="42"/>
      <c r="C94" s="11" t="s">
        <v>41</v>
      </c>
      <c r="D94" s="14" t="n">
        <f aca="false">IFERROR((D93-D92)/D92,0)</f>
        <v>0.00645161290322578</v>
      </c>
      <c r="E94" s="14" t="n">
        <f aca="false">IFERROR((E93-E92)/E92,0)</f>
        <v>0.0475409836065574</v>
      </c>
      <c r="F94" s="14" t="n">
        <f aca="false">IFERROR((F93-F92)/F92,0)</f>
        <v>-0.131818181818182</v>
      </c>
      <c r="G94" s="14" t="n">
        <f aca="false">IFERROR((G93-G92)/G92,0)</f>
        <v>-0.2140625</v>
      </c>
      <c r="H94" s="14" t="n">
        <f aca="false">IFERROR((H93-H92)/H92,0)</f>
        <v>-0.09375</v>
      </c>
      <c r="I94" s="14" t="n">
        <f aca="false">IFERROR((I93-I92)/I92,0)</f>
        <v>-0.0396825396825397</v>
      </c>
      <c r="J94" s="14" t="n">
        <f aca="false">IFERROR((J93-J92)/J92,0)</f>
        <v>1.04761904761905</v>
      </c>
      <c r="K94" s="15" t="n">
        <f aca="false">IFERROR((SUM(D93:J93)-SUM(D92:J92))/SUM(D92:J92),0)</f>
        <v>-0.0106493506493507</v>
      </c>
    </row>
    <row r="95" customFormat="false" ht="15" hidden="false" customHeight="true" outlineLevel="0" collapsed="false">
      <c r="A95" s="42" t="s">
        <v>685</v>
      </c>
      <c r="B95" s="43" t="s">
        <v>686</v>
      </c>
      <c r="C95" s="5" t="s">
        <v>26</v>
      </c>
      <c r="D95" s="6" t="n">
        <v>33</v>
      </c>
      <c r="E95" s="6" t="n">
        <v>42</v>
      </c>
      <c r="F95" s="6" t="n">
        <v>38</v>
      </c>
      <c r="G95" s="6" t="n">
        <v>58</v>
      </c>
      <c r="H95" s="6" t="n">
        <v>72</v>
      </c>
      <c r="I95" s="6" t="n">
        <v>72</v>
      </c>
      <c r="J95" s="6" t="n">
        <v>40</v>
      </c>
      <c r="K95" s="7" t="n">
        <f aca="false">SUM(D95:J95)</f>
        <v>355</v>
      </c>
    </row>
    <row r="96" customFormat="false" ht="15" hidden="false" customHeight="false" outlineLevel="0" collapsed="false">
      <c r="A96" s="42"/>
      <c r="B96" s="42"/>
      <c r="C96" s="44" t="s">
        <v>14</v>
      </c>
      <c r="D96" s="9" t="n">
        <v>35.6</v>
      </c>
      <c r="E96" s="9" t="n">
        <v>42.7</v>
      </c>
      <c r="F96" s="9" t="n">
        <v>54.8</v>
      </c>
      <c r="G96" s="9" t="n">
        <v>59.4</v>
      </c>
      <c r="H96" s="9" t="n">
        <v>60.6</v>
      </c>
      <c r="I96" s="9" t="n">
        <v>83.1</v>
      </c>
      <c r="J96" s="9" t="n">
        <v>58.3</v>
      </c>
      <c r="K96" s="10" t="n">
        <f aca="false">SUM(D96:J96)</f>
        <v>394.5</v>
      </c>
    </row>
    <row r="97" customFormat="false" ht="15" hidden="false" customHeight="false" outlineLevel="0" collapsed="false">
      <c r="A97" s="42"/>
      <c r="B97" s="42"/>
      <c r="C97" s="11" t="s">
        <v>41</v>
      </c>
      <c r="D97" s="14" t="n">
        <f aca="false">IFERROR((D96-D95)/D95,0)</f>
        <v>0.0787878787878788</v>
      </c>
      <c r="E97" s="14" t="n">
        <f aca="false">IFERROR((E96-E95)/E95,0)</f>
        <v>0.0166666666666667</v>
      </c>
      <c r="F97" s="14" t="n">
        <f aca="false">IFERROR((F96-F95)/F95,0)</f>
        <v>0.442105263157895</v>
      </c>
      <c r="G97" s="14" t="n">
        <f aca="false">IFERROR((G96-G95)/G95,0)</f>
        <v>0.0241379310344827</v>
      </c>
      <c r="H97" s="14" t="n">
        <f aca="false">IFERROR((H96-H95)/H95,0)</f>
        <v>-0.158333333333333</v>
      </c>
      <c r="I97" s="14" t="n">
        <f aca="false">IFERROR((I96-I95)/I95,0)</f>
        <v>0.154166666666667</v>
      </c>
      <c r="J97" s="14" t="n">
        <f aca="false">IFERROR((J96-J95)/J95,0)</f>
        <v>0.4575</v>
      </c>
      <c r="K97" s="15" t="n">
        <f aca="false">IFERROR((SUM(D96:J96)-SUM(D95:J95))/SUM(D95:J95),0)</f>
        <v>0.111267605633803</v>
      </c>
    </row>
    <row r="98" customFormat="false" ht="15" hidden="false" customHeight="true" outlineLevel="0" collapsed="false">
      <c r="A98" s="42" t="s">
        <v>687</v>
      </c>
      <c r="B98" s="43" t="s">
        <v>688</v>
      </c>
      <c r="C98" s="5" t="s">
        <v>26</v>
      </c>
      <c r="D98" s="6" t="n">
        <v>50</v>
      </c>
      <c r="E98" s="6" t="n">
        <v>48</v>
      </c>
      <c r="F98" s="6" t="n">
        <v>46</v>
      </c>
      <c r="G98" s="6" t="n">
        <v>45</v>
      </c>
      <c r="H98" s="6" t="n">
        <v>48</v>
      </c>
      <c r="I98" s="6" t="n">
        <v>64</v>
      </c>
      <c r="J98" s="6" t="n">
        <v>32</v>
      </c>
      <c r="K98" s="7" t="n">
        <f aca="false">SUM(D98:J98)</f>
        <v>333</v>
      </c>
    </row>
    <row r="99" customFormat="false" ht="15" hidden="false" customHeight="false" outlineLevel="0" collapsed="false">
      <c r="A99" s="42"/>
      <c r="B99" s="42"/>
      <c r="C99" s="44" t="s">
        <v>14</v>
      </c>
      <c r="D99" s="9" t="n">
        <v>41.8</v>
      </c>
      <c r="E99" s="9" t="n">
        <v>45.5</v>
      </c>
      <c r="F99" s="9" t="n">
        <v>43.9</v>
      </c>
      <c r="G99" s="9" t="n">
        <v>47</v>
      </c>
      <c r="H99" s="9" t="n">
        <v>50.9</v>
      </c>
      <c r="I99" s="9" t="n">
        <v>57.3</v>
      </c>
      <c r="J99" s="9" t="n">
        <v>44.3</v>
      </c>
      <c r="K99" s="10" t="n">
        <f aca="false">SUM(D99:J99)</f>
        <v>330.7</v>
      </c>
    </row>
    <row r="100" customFormat="false" ht="15" hidden="false" customHeight="false" outlineLevel="0" collapsed="false">
      <c r="A100" s="42"/>
      <c r="B100" s="42"/>
      <c r="C100" s="11" t="s">
        <v>41</v>
      </c>
      <c r="D100" s="14" t="n">
        <f aca="false">IFERROR((D99-D98)/D98,0)</f>
        <v>-0.164</v>
      </c>
      <c r="E100" s="14" t="n">
        <f aca="false">IFERROR((E99-E98)/E98,0)</f>
        <v>-0.0520833333333333</v>
      </c>
      <c r="F100" s="14" t="n">
        <f aca="false">IFERROR((F99-F98)/F98,0)</f>
        <v>-0.0456521739130435</v>
      </c>
      <c r="G100" s="14" t="n">
        <f aca="false">IFERROR((G99-G98)/G98,0)</f>
        <v>0.0444444444444444</v>
      </c>
      <c r="H100" s="14" t="n">
        <f aca="false">IFERROR((H99-H98)/H98,0)</f>
        <v>0.0604166666666666</v>
      </c>
      <c r="I100" s="14" t="n">
        <f aca="false">IFERROR((I99-I98)/I98,0)</f>
        <v>-0.1046875</v>
      </c>
      <c r="J100" s="14" t="n">
        <f aca="false">IFERROR((J99-J98)/J98,0)</f>
        <v>0.384375</v>
      </c>
      <c r="K100" s="15" t="n">
        <f aca="false">IFERROR((SUM(D99:J99)-SUM(D98:J98))/SUM(D98:J98),0)</f>
        <v>-0.00690690690690694</v>
      </c>
    </row>
    <row r="101" customFormat="false" ht="15" hidden="false" customHeight="true" outlineLevel="0" collapsed="false">
      <c r="A101" s="42" t="s">
        <v>689</v>
      </c>
      <c r="B101" s="43" t="s">
        <v>690</v>
      </c>
      <c r="C101" s="5" t="s">
        <v>26</v>
      </c>
      <c r="D101" s="6" t="n">
        <v>18</v>
      </c>
      <c r="E101" s="6" t="n">
        <v>41</v>
      </c>
      <c r="F101" s="6" t="n">
        <v>25</v>
      </c>
      <c r="G101" s="6" t="n">
        <v>15</v>
      </c>
      <c r="H101" s="6" t="n">
        <v>58</v>
      </c>
      <c r="I101" s="6" t="n">
        <v>121</v>
      </c>
      <c r="J101" s="6" t="n">
        <v>41</v>
      </c>
      <c r="K101" s="7" t="n">
        <f aca="false">SUM(D101:J101)</f>
        <v>319</v>
      </c>
    </row>
    <row r="102" customFormat="false" ht="15" hidden="false" customHeight="false" outlineLevel="0" collapsed="false">
      <c r="A102" s="42"/>
      <c r="B102" s="42"/>
      <c r="C102" s="44" t="s">
        <v>14</v>
      </c>
      <c r="D102" s="9" t="n">
        <v>23.7</v>
      </c>
      <c r="E102" s="9" t="n">
        <v>34.7</v>
      </c>
      <c r="F102" s="9" t="n">
        <v>19.6</v>
      </c>
      <c r="G102" s="9" t="n">
        <v>23.1</v>
      </c>
      <c r="H102" s="9" t="n">
        <v>40</v>
      </c>
      <c r="I102" s="9" t="n">
        <v>66.1</v>
      </c>
      <c r="J102" s="9" t="n">
        <v>47.8</v>
      </c>
      <c r="K102" s="10" t="n">
        <f aca="false">SUM(D102:J102)</f>
        <v>255</v>
      </c>
    </row>
    <row r="103" customFormat="false" ht="15" hidden="false" customHeight="false" outlineLevel="0" collapsed="false">
      <c r="A103" s="42"/>
      <c r="B103" s="42"/>
      <c r="C103" s="11" t="s">
        <v>41</v>
      </c>
      <c r="D103" s="14" t="n">
        <f aca="false">IFERROR((D102-D101)/D101,0)</f>
        <v>0.316666666666667</v>
      </c>
      <c r="E103" s="14" t="n">
        <f aca="false">IFERROR((E102-E101)/E101,0)</f>
        <v>-0.153658536585366</v>
      </c>
      <c r="F103" s="14" t="n">
        <f aca="false">IFERROR((F102-F101)/F101,0)</f>
        <v>-0.216</v>
      </c>
      <c r="G103" s="14" t="n">
        <f aca="false">IFERROR((G102-G101)/G101,0)</f>
        <v>0.54</v>
      </c>
      <c r="H103" s="14" t="n">
        <f aca="false">IFERROR((H102-H101)/H101,0)</f>
        <v>-0.310344827586207</v>
      </c>
      <c r="I103" s="14" t="n">
        <f aca="false">IFERROR((I102-I101)/I101,0)</f>
        <v>-0.453719008264463</v>
      </c>
      <c r="J103" s="14" t="n">
        <f aca="false">IFERROR((J102-J101)/J101,0)</f>
        <v>0.165853658536585</v>
      </c>
      <c r="K103" s="15" t="n">
        <f aca="false">IFERROR((SUM(D102:J102)-SUM(D101:J101))/SUM(D101:J101),0)</f>
        <v>-0.200626959247649</v>
      </c>
    </row>
    <row r="104" customFormat="false" ht="15" hidden="false" customHeight="true" outlineLevel="0" collapsed="false">
      <c r="A104" s="42" t="s">
        <v>691</v>
      </c>
      <c r="B104" s="43" t="s">
        <v>684</v>
      </c>
      <c r="C104" s="5" t="s">
        <v>26</v>
      </c>
      <c r="D104" s="6" t="n">
        <v>50</v>
      </c>
      <c r="E104" s="6" t="n">
        <v>55</v>
      </c>
      <c r="F104" s="6" t="n">
        <v>55</v>
      </c>
      <c r="G104" s="6" t="n">
        <v>47</v>
      </c>
      <c r="H104" s="6" t="n">
        <v>42</v>
      </c>
      <c r="I104" s="6" t="n">
        <v>50</v>
      </c>
      <c r="J104" s="6" t="n">
        <v>18</v>
      </c>
      <c r="K104" s="7" t="n">
        <f aca="false">SUM(D104:J104)</f>
        <v>317</v>
      </c>
    </row>
    <row r="105" customFormat="false" ht="15" hidden="false" customHeight="false" outlineLevel="0" collapsed="false">
      <c r="A105" s="42"/>
      <c r="B105" s="42"/>
      <c r="C105" s="44" t="s">
        <v>14</v>
      </c>
      <c r="D105" s="9" t="n">
        <v>42.7</v>
      </c>
      <c r="E105" s="9" t="n">
        <v>51.7</v>
      </c>
      <c r="F105" s="9" t="n">
        <v>50.4</v>
      </c>
      <c r="G105" s="9" t="n">
        <v>46.9</v>
      </c>
      <c r="H105" s="9" t="n">
        <v>41.1</v>
      </c>
      <c r="I105" s="9" t="n">
        <v>58.5</v>
      </c>
      <c r="J105" s="9" t="n">
        <v>41.5</v>
      </c>
      <c r="K105" s="10" t="n">
        <f aca="false">SUM(D105:J105)</f>
        <v>332.8</v>
      </c>
    </row>
    <row r="106" customFormat="false" ht="15" hidden="false" customHeight="false" outlineLevel="0" collapsed="false">
      <c r="A106" s="42"/>
      <c r="B106" s="42"/>
      <c r="C106" s="11" t="s">
        <v>41</v>
      </c>
      <c r="D106" s="14" t="n">
        <f aca="false">IFERROR((D105-D104)/D104,0)</f>
        <v>-0.146</v>
      </c>
      <c r="E106" s="14" t="n">
        <f aca="false">IFERROR((E105-E104)/E104,0)</f>
        <v>-0.06</v>
      </c>
      <c r="F106" s="14" t="n">
        <f aca="false">IFERROR((F105-F104)/F104,0)</f>
        <v>-0.0836363636363637</v>
      </c>
      <c r="G106" s="14" t="n">
        <f aca="false">IFERROR((G105-G104)/G104,0)</f>
        <v>-0.00212765957446812</v>
      </c>
      <c r="H106" s="14" t="n">
        <f aca="false">IFERROR((H105-H104)/H104,0)</f>
        <v>-0.0214285714285714</v>
      </c>
      <c r="I106" s="14" t="n">
        <f aca="false">IFERROR((I105-I104)/I104,0)</f>
        <v>0.17</v>
      </c>
      <c r="J106" s="14" t="n">
        <f aca="false">IFERROR((J105-J104)/J104,0)</f>
        <v>1.30555555555556</v>
      </c>
      <c r="K106" s="15" t="n">
        <f aca="false">IFERROR((SUM(D105:J105)-SUM(D104:J104))/SUM(D104:J104),0)</f>
        <v>0.0498422712933754</v>
      </c>
    </row>
    <row r="107" customFormat="false" ht="15" hidden="false" customHeight="true" outlineLevel="0" collapsed="false">
      <c r="A107" s="42" t="s">
        <v>692</v>
      </c>
      <c r="B107" s="43" t="s">
        <v>693</v>
      </c>
      <c r="C107" s="5" t="s">
        <v>26</v>
      </c>
      <c r="D107" s="6" t="n">
        <v>39</v>
      </c>
      <c r="E107" s="6" t="n">
        <v>33</v>
      </c>
      <c r="F107" s="6" t="n">
        <v>39</v>
      </c>
      <c r="G107" s="6" t="n">
        <v>42</v>
      </c>
      <c r="H107" s="6" t="n">
        <v>43</v>
      </c>
      <c r="I107" s="6" t="n">
        <v>67</v>
      </c>
      <c r="J107" s="6" t="n">
        <v>45</v>
      </c>
      <c r="K107" s="7" t="n">
        <f aca="false">SUM(D107:J107)</f>
        <v>308</v>
      </c>
    </row>
    <row r="108" customFormat="false" ht="15" hidden="false" customHeight="false" outlineLevel="0" collapsed="false">
      <c r="A108" s="42"/>
      <c r="B108" s="42"/>
      <c r="C108" s="44" t="s">
        <v>14</v>
      </c>
      <c r="D108" s="9" t="n">
        <v>49</v>
      </c>
      <c r="E108" s="9" t="n">
        <v>51.2</v>
      </c>
      <c r="F108" s="9" t="n">
        <v>39.2</v>
      </c>
      <c r="G108" s="9" t="n">
        <v>53.6</v>
      </c>
      <c r="H108" s="9" t="n">
        <v>54.7</v>
      </c>
      <c r="I108" s="9" t="n">
        <v>95</v>
      </c>
      <c r="J108" s="9" t="n">
        <v>82.7</v>
      </c>
      <c r="K108" s="10" t="n">
        <f aca="false">SUM(D108:J108)</f>
        <v>425.4</v>
      </c>
    </row>
    <row r="109" customFormat="false" ht="15" hidden="false" customHeight="false" outlineLevel="0" collapsed="false">
      <c r="A109" s="42"/>
      <c r="B109" s="42"/>
      <c r="C109" s="11" t="s">
        <v>41</v>
      </c>
      <c r="D109" s="14" t="n">
        <f aca="false">IFERROR((D108-D107)/D107,0)</f>
        <v>0.256410256410256</v>
      </c>
      <c r="E109" s="14" t="n">
        <f aca="false">IFERROR((E108-E107)/E107,0)</f>
        <v>0.551515151515152</v>
      </c>
      <c r="F109" s="14" t="n">
        <f aca="false">IFERROR((F108-F107)/F107,0)</f>
        <v>0.0051282051282052</v>
      </c>
      <c r="G109" s="14" t="n">
        <f aca="false">IFERROR((G108-G107)/G107,0)</f>
        <v>0.276190476190476</v>
      </c>
      <c r="H109" s="14" t="n">
        <f aca="false">IFERROR((H108-H107)/H107,0)</f>
        <v>0.272093023255814</v>
      </c>
      <c r="I109" s="14" t="n">
        <f aca="false">IFERROR((I108-I107)/I107,0)</f>
        <v>0.417910447761194</v>
      </c>
      <c r="J109" s="14" t="n">
        <f aca="false">IFERROR((J108-J107)/J107,0)</f>
        <v>0.837777777777778</v>
      </c>
      <c r="K109" s="15" t="n">
        <f aca="false">IFERROR((SUM(D108:J108)-SUM(D107:J107))/SUM(D107:J107),0)</f>
        <v>0.381168831168831</v>
      </c>
    </row>
    <row r="110" customFormat="false" ht="15" hidden="false" customHeight="true" outlineLevel="0" collapsed="false">
      <c r="A110" s="42" t="s">
        <v>694</v>
      </c>
      <c r="B110" s="43" t="s">
        <v>695</v>
      </c>
      <c r="C110" s="5" t="s">
        <v>26</v>
      </c>
      <c r="D110" s="6" t="n">
        <v>23</v>
      </c>
      <c r="E110" s="6" t="n">
        <v>34</v>
      </c>
      <c r="F110" s="6" t="n">
        <v>25</v>
      </c>
      <c r="G110" s="6" t="n">
        <v>34</v>
      </c>
      <c r="H110" s="6" t="n">
        <v>53</v>
      </c>
      <c r="I110" s="6" t="n">
        <v>76</v>
      </c>
      <c r="J110" s="6" t="n">
        <v>43</v>
      </c>
      <c r="K110" s="7" t="n">
        <f aca="false">SUM(D110:J110)</f>
        <v>288</v>
      </c>
    </row>
    <row r="111" customFormat="false" ht="15" hidden="false" customHeight="false" outlineLevel="0" collapsed="false">
      <c r="A111" s="42"/>
      <c r="B111" s="42"/>
      <c r="C111" s="44" t="s">
        <v>14</v>
      </c>
      <c r="D111" s="9" t="n">
        <v>39.1</v>
      </c>
      <c r="E111" s="9" t="n">
        <v>39.2</v>
      </c>
      <c r="F111" s="9" t="n">
        <v>33.7</v>
      </c>
      <c r="G111" s="9" t="n">
        <v>32.2</v>
      </c>
      <c r="H111" s="9" t="n">
        <v>49.5</v>
      </c>
      <c r="I111" s="9" t="n">
        <v>99.9</v>
      </c>
      <c r="J111" s="9" t="n">
        <v>66.4</v>
      </c>
      <c r="K111" s="10" t="n">
        <f aca="false">SUM(D111:J111)</f>
        <v>360</v>
      </c>
    </row>
    <row r="112" customFormat="false" ht="15" hidden="false" customHeight="false" outlineLevel="0" collapsed="false">
      <c r="A112" s="42"/>
      <c r="B112" s="42"/>
      <c r="C112" s="11" t="s">
        <v>41</v>
      </c>
      <c r="D112" s="14" t="n">
        <f aca="false">IFERROR((D111-D110)/D110,0)</f>
        <v>0.7</v>
      </c>
      <c r="E112" s="14" t="n">
        <f aca="false">IFERROR((E111-E110)/E110,0)</f>
        <v>0.152941176470588</v>
      </c>
      <c r="F112" s="14" t="n">
        <f aca="false">IFERROR((F111-F110)/F110,0)</f>
        <v>0.348</v>
      </c>
      <c r="G112" s="14" t="n">
        <f aca="false">IFERROR((G111-G110)/G110,0)</f>
        <v>-0.0529411764705882</v>
      </c>
      <c r="H112" s="14" t="n">
        <f aca="false">IFERROR((H111-H110)/H110,0)</f>
        <v>-0.0660377358490566</v>
      </c>
      <c r="I112" s="14" t="n">
        <f aca="false">IFERROR((I111-I110)/I110,0)</f>
        <v>0.314473684210526</v>
      </c>
      <c r="J112" s="14" t="n">
        <f aca="false">IFERROR((J111-J110)/J110,0)</f>
        <v>0.544186046511628</v>
      </c>
      <c r="K112" s="15" t="n">
        <f aca="false">IFERROR((SUM(D111:J111)-SUM(D110:J110))/SUM(D110:J110),0)</f>
        <v>0.25</v>
      </c>
    </row>
    <row r="113" customFormat="false" ht="15" hidden="false" customHeight="true" outlineLevel="0" collapsed="false">
      <c r="A113" s="42" t="s">
        <v>696</v>
      </c>
      <c r="B113" s="43" t="s">
        <v>697</v>
      </c>
      <c r="C113" s="5" t="s">
        <v>26</v>
      </c>
      <c r="D113" s="6" t="n">
        <v>33</v>
      </c>
      <c r="E113" s="6" t="n">
        <v>28</v>
      </c>
      <c r="F113" s="6" t="n">
        <v>40</v>
      </c>
      <c r="G113" s="6" t="n">
        <v>36</v>
      </c>
      <c r="H113" s="6" t="n">
        <v>44</v>
      </c>
      <c r="I113" s="6" t="n">
        <v>78</v>
      </c>
      <c r="J113" s="6" t="n">
        <v>27</v>
      </c>
      <c r="K113" s="7" t="n">
        <f aca="false">SUM(D113:J113)</f>
        <v>286</v>
      </c>
    </row>
    <row r="114" customFormat="false" ht="15" hidden="false" customHeight="false" outlineLevel="0" collapsed="false">
      <c r="A114" s="42"/>
      <c r="B114" s="42"/>
      <c r="C114" s="44" t="s">
        <v>14</v>
      </c>
      <c r="D114" s="9" t="n">
        <v>26.2</v>
      </c>
      <c r="E114" s="9" t="n">
        <v>28</v>
      </c>
      <c r="F114" s="9" t="n">
        <v>21.7</v>
      </c>
      <c r="G114" s="9" t="n">
        <v>28.4</v>
      </c>
      <c r="H114" s="9" t="n">
        <v>24.8</v>
      </c>
      <c r="I114" s="9" t="n">
        <v>73.5</v>
      </c>
      <c r="J114" s="9" t="n">
        <v>25.7</v>
      </c>
      <c r="K114" s="10" t="n">
        <f aca="false">SUM(D114:J114)</f>
        <v>228.3</v>
      </c>
    </row>
    <row r="115" customFormat="false" ht="15" hidden="false" customHeight="false" outlineLevel="0" collapsed="false">
      <c r="A115" s="42"/>
      <c r="B115" s="42"/>
      <c r="C115" s="11" t="s">
        <v>41</v>
      </c>
      <c r="D115" s="14" t="n">
        <f aca="false">IFERROR((D114-D113)/D113,0)</f>
        <v>-0.206060606060606</v>
      </c>
      <c r="E115" s="14" t="n">
        <f aca="false">IFERROR((E114-E113)/E113,0)</f>
        <v>0</v>
      </c>
      <c r="F115" s="14" t="n">
        <f aca="false">IFERROR((F114-F113)/F113,0)</f>
        <v>-0.4575</v>
      </c>
      <c r="G115" s="14" t="n">
        <f aca="false">IFERROR((G114-G113)/G113,0)</f>
        <v>-0.211111111111111</v>
      </c>
      <c r="H115" s="14" t="n">
        <f aca="false">IFERROR((H114-H113)/H113,0)</f>
        <v>-0.436363636363636</v>
      </c>
      <c r="I115" s="14" t="n">
        <f aca="false">IFERROR((I114-I113)/I113,0)</f>
        <v>-0.0576923076923077</v>
      </c>
      <c r="J115" s="14" t="n">
        <f aca="false">IFERROR((J114-J113)/J113,0)</f>
        <v>-0.0481481481481482</v>
      </c>
      <c r="K115" s="15" t="n">
        <f aca="false">IFERROR((SUM(D114:J114)-SUM(D113:J113))/SUM(D113:J113),0)</f>
        <v>-0.201748251748252</v>
      </c>
    </row>
    <row r="116" customFormat="false" ht="15" hidden="false" customHeight="true" outlineLevel="0" collapsed="false">
      <c r="A116" s="42" t="s">
        <v>698</v>
      </c>
      <c r="B116" s="43" t="s">
        <v>699</v>
      </c>
      <c r="C116" s="5" t="s">
        <v>26</v>
      </c>
      <c r="D116" s="6" t="n">
        <v>23</v>
      </c>
      <c r="E116" s="6" t="n">
        <v>20</v>
      </c>
      <c r="F116" s="6" t="n">
        <v>20</v>
      </c>
      <c r="G116" s="6" t="n">
        <v>46</v>
      </c>
      <c r="H116" s="6" t="n">
        <v>67</v>
      </c>
      <c r="I116" s="6" t="n">
        <v>56</v>
      </c>
      <c r="J116" s="6" t="n">
        <v>45</v>
      </c>
      <c r="K116" s="7" t="n">
        <f aca="false">SUM(D116:J116)</f>
        <v>277</v>
      </c>
    </row>
    <row r="117" customFormat="false" ht="15" hidden="false" customHeight="false" outlineLevel="0" collapsed="false">
      <c r="A117" s="42"/>
      <c r="B117" s="42"/>
      <c r="C117" s="44" t="s">
        <v>14</v>
      </c>
      <c r="D117" s="9" t="n">
        <v>25.3</v>
      </c>
      <c r="E117" s="9" t="n">
        <v>18</v>
      </c>
      <c r="F117" s="9" t="n">
        <v>22.2</v>
      </c>
      <c r="G117" s="9" t="n">
        <v>32</v>
      </c>
      <c r="H117" s="9" t="n">
        <v>55.1</v>
      </c>
      <c r="I117" s="9" t="n">
        <v>88.6</v>
      </c>
      <c r="J117" s="9" t="n">
        <v>45.8</v>
      </c>
      <c r="K117" s="10" t="n">
        <f aca="false">SUM(D117:J117)</f>
        <v>287</v>
      </c>
    </row>
    <row r="118" customFormat="false" ht="15" hidden="false" customHeight="false" outlineLevel="0" collapsed="false">
      <c r="A118" s="42"/>
      <c r="B118" s="42"/>
      <c r="C118" s="11" t="s">
        <v>41</v>
      </c>
      <c r="D118" s="14" t="n">
        <f aca="false">IFERROR((D117-D116)/D116,0)</f>
        <v>0.1</v>
      </c>
      <c r="E118" s="14" t="n">
        <f aca="false">IFERROR((E117-E116)/E116,0)</f>
        <v>-0.1</v>
      </c>
      <c r="F118" s="14" t="n">
        <f aca="false">IFERROR((F117-F116)/F116,0)</f>
        <v>0.11</v>
      </c>
      <c r="G118" s="14" t="n">
        <f aca="false">IFERROR((G117-G116)/G116,0)</f>
        <v>-0.304347826086957</v>
      </c>
      <c r="H118" s="14" t="n">
        <f aca="false">IFERROR((H117-H116)/H116,0)</f>
        <v>-0.177611940298507</v>
      </c>
      <c r="I118" s="14" t="n">
        <f aca="false">IFERROR((I117-I116)/I116,0)</f>
        <v>0.582142857142857</v>
      </c>
      <c r="J118" s="14" t="n">
        <f aca="false">IFERROR((J117-J116)/J116,0)</f>
        <v>0.0177777777777777</v>
      </c>
      <c r="K118" s="15" t="n">
        <f aca="false">IFERROR((SUM(D117:J117)-SUM(D116:J116))/SUM(D116:J116),0)</f>
        <v>0.036101083032491</v>
      </c>
    </row>
    <row r="119" customFormat="false" ht="15" hidden="false" customHeight="true" outlineLevel="0" collapsed="false">
      <c r="A119" s="42" t="s">
        <v>700</v>
      </c>
      <c r="B119" s="43" t="s">
        <v>701</v>
      </c>
      <c r="C119" s="5" t="s">
        <v>26</v>
      </c>
      <c r="D119" s="6" t="n">
        <v>52</v>
      </c>
      <c r="E119" s="6" t="n">
        <v>40</v>
      </c>
      <c r="F119" s="6" t="n">
        <v>39</v>
      </c>
      <c r="G119" s="6" t="n">
        <v>41</v>
      </c>
      <c r="H119" s="6" t="n">
        <v>38</v>
      </c>
      <c r="I119" s="6" t="n">
        <v>28</v>
      </c>
      <c r="J119" s="6" t="n">
        <v>31</v>
      </c>
      <c r="K119" s="7" t="n">
        <f aca="false">SUM(D119:J119)</f>
        <v>269</v>
      </c>
    </row>
    <row r="120" customFormat="false" ht="15" hidden="false" customHeight="false" outlineLevel="0" collapsed="false">
      <c r="A120" s="42"/>
      <c r="B120" s="42"/>
      <c r="C120" s="44" t="s">
        <v>14</v>
      </c>
      <c r="D120" s="9" t="n">
        <v>34.9</v>
      </c>
      <c r="E120" s="9" t="n">
        <v>39.4</v>
      </c>
      <c r="F120" s="9" t="n">
        <v>31.3</v>
      </c>
      <c r="G120" s="9" t="n">
        <v>38</v>
      </c>
      <c r="H120" s="9" t="n">
        <v>41.3</v>
      </c>
      <c r="I120" s="9" t="n">
        <v>65.6</v>
      </c>
      <c r="J120" s="9" t="n">
        <v>35.7</v>
      </c>
      <c r="K120" s="10" t="n">
        <f aca="false">SUM(D120:J120)</f>
        <v>286.2</v>
      </c>
    </row>
    <row r="121" customFormat="false" ht="15" hidden="false" customHeight="false" outlineLevel="0" collapsed="false">
      <c r="A121" s="42"/>
      <c r="B121" s="42"/>
      <c r="C121" s="11" t="s">
        <v>41</v>
      </c>
      <c r="D121" s="14" t="n">
        <f aca="false">IFERROR((D120-D119)/D119,0)</f>
        <v>-0.328846153846154</v>
      </c>
      <c r="E121" s="14" t="n">
        <f aca="false">IFERROR((E120-E119)/E119,0)</f>
        <v>-0.015</v>
      </c>
      <c r="F121" s="14" t="n">
        <f aca="false">IFERROR((F120-F119)/F119,0)</f>
        <v>-0.197435897435897</v>
      </c>
      <c r="G121" s="14" t="n">
        <f aca="false">IFERROR((G120-G119)/G119,0)</f>
        <v>-0.0731707317073171</v>
      </c>
      <c r="H121" s="14" t="n">
        <f aca="false">IFERROR((H120-H119)/H119,0)</f>
        <v>0.0868421052631578</v>
      </c>
      <c r="I121" s="14" t="n">
        <f aca="false">IFERROR((I120-I119)/I119,0)</f>
        <v>1.34285714285714</v>
      </c>
      <c r="J121" s="14" t="n">
        <f aca="false">IFERROR((J120-J119)/J119,0)</f>
        <v>0.151612903225807</v>
      </c>
      <c r="K121" s="15" t="n">
        <f aca="false">IFERROR((SUM(D120:J120)-SUM(D119:J119))/SUM(D119:J119),0)</f>
        <v>0.0639405204460966</v>
      </c>
    </row>
    <row r="122" customFormat="false" ht="15" hidden="false" customHeight="true" outlineLevel="0" collapsed="false">
      <c r="A122" s="42" t="s">
        <v>702</v>
      </c>
      <c r="B122" s="43" t="s">
        <v>703</v>
      </c>
      <c r="C122" s="5" t="s">
        <v>26</v>
      </c>
      <c r="D122" s="6" t="n">
        <v>51</v>
      </c>
      <c r="E122" s="6" t="n">
        <v>30</v>
      </c>
      <c r="F122" s="6" t="n">
        <v>31</v>
      </c>
      <c r="G122" s="6" t="n">
        <v>23</v>
      </c>
      <c r="H122" s="6" t="n">
        <v>32</v>
      </c>
      <c r="I122" s="6" t="n">
        <v>55</v>
      </c>
      <c r="J122" s="6" t="n">
        <v>30</v>
      </c>
      <c r="K122" s="7" t="n">
        <f aca="false">SUM(D122:J122)</f>
        <v>252</v>
      </c>
    </row>
    <row r="123" customFormat="false" ht="15" hidden="false" customHeight="false" outlineLevel="0" collapsed="false">
      <c r="A123" s="42"/>
      <c r="B123" s="42"/>
      <c r="C123" s="44" t="s">
        <v>14</v>
      </c>
      <c r="D123" s="9" t="n">
        <v>33.7</v>
      </c>
      <c r="E123" s="9" t="n">
        <v>40.9</v>
      </c>
      <c r="F123" s="9" t="n">
        <v>26.5</v>
      </c>
      <c r="G123" s="9" t="n">
        <v>24.8</v>
      </c>
      <c r="H123" s="9" t="n">
        <v>31.1</v>
      </c>
      <c r="I123" s="9" t="n">
        <v>44.7</v>
      </c>
      <c r="J123" s="9" t="n">
        <v>44.3</v>
      </c>
      <c r="K123" s="10" t="n">
        <f aca="false">SUM(D123:J123)</f>
        <v>246</v>
      </c>
    </row>
    <row r="124" customFormat="false" ht="15" hidden="false" customHeight="false" outlineLevel="0" collapsed="false">
      <c r="A124" s="42"/>
      <c r="B124" s="42"/>
      <c r="C124" s="11" t="s">
        <v>41</v>
      </c>
      <c r="D124" s="14" t="n">
        <f aca="false">IFERROR((D123-D122)/D122,0)</f>
        <v>-0.33921568627451</v>
      </c>
      <c r="E124" s="14" t="n">
        <f aca="false">IFERROR((E123-E122)/E122,0)</f>
        <v>0.363333333333333</v>
      </c>
      <c r="F124" s="14" t="n">
        <f aca="false">IFERROR((F123-F122)/F122,0)</f>
        <v>-0.145161290322581</v>
      </c>
      <c r="G124" s="14" t="n">
        <f aca="false">IFERROR((G123-G122)/G122,0)</f>
        <v>0.0782608695652174</v>
      </c>
      <c r="H124" s="14" t="n">
        <f aca="false">IFERROR((H123-H122)/H122,0)</f>
        <v>-0.028125</v>
      </c>
      <c r="I124" s="14" t="n">
        <f aca="false">IFERROR((I123-I122)/I122,0)</f>
        <v>-0.187272727272727</v>
      </c>
      <c r="J124" s="14" t="n">
        <f aca="false">IFERROR((J123-J122)/J122,0)</f>
        <v>0.476666666666667</v>
      </c>
      <c r="K124" s="15" t="n">
        <f aca="false">IFERROR((SUM(D123:J123)-SUM(D122:J122))/SUM(D122:J122),0)</f>
        <v>-0.0238095238095238</v>
      </c>
    </row>
    <row r="125" customFormat="false" ht="15" hidden="false" customHeight="true" outlineLevel="0" collapsed="false">
      <c r="A125" s="42" t="s">
        <v>704</v>
      </c>
      <c r="B125" s="43" t="s">
        <v>705</v>
      </c>
      <c r="C125" s="5" t="s">
        <v>26</v>
      </c>
      <c r="D125" s="6" t="n">
        <v>28</v>
      </c>
      <c r="E125" s="6" t="n">
        <v>29</v>
      </c>
      <c r="F125" s="6" t="n">
        <v>28</v>
      </c>
      <c r="G125" s="6" t="n">
        <v>29</v>
      </c>
      <c r="H125" s="6" t="n">
        <v>30</v>
      </c>
      <c r="I125" s="6" t="n">
        <v>67</v>
      </c>
      <c r="J125" s="6" t="n">
        <v>25</v>
      </c>
      <c r="K125" s="7" t="n">
        <f aca="false">SUM(D125:J125)</f>
        <v>236</v>
      </c>
    </row>
    <row r="126" customFormat="false" ht="15" hidden="false" customHeight="false" outlineLevel="0" collapsed="false">
      <c r="A126" s="42"/>
      <c r="B126" s="42"/>
      <c r="C126" s="44" t="s">
        <v>14</v>
      </c>
      <c r="D126" s="9" t="n">
        <v>25.4</v>
      </c>
      <c r="E126" s="9" t="n">
        <v>31</v>
      </c>
      <c r="F126" s="9" t="n">
        <v>26.8</v>
      </c>
      <c r="G126" s="9" t="n">
        <v>30.1</v>
      </c>
      <c r="H126" s="9" t="n">
        <v>33.1</v>
      </c>
      <c r="I126" s="9" t="n">
        <v>82.7</v>
      </c>
      <c r="J126" s="9" t="n">
        <v>52</v>
      </c>
      <c r="K126" s="10" t="n">
        <f aca="false">SUM(D126:J126)</f>
        <v>281.1</v>
      </c>
    </row>
    <row r="127" customFormat="false" ht="15" hidden="false" customHeight="false" outlineLevel="0" collapsed="false">
      <c r="A127" s="42"/>
      <c r="B127" s="42"/>
      <c r="C127" s="11" t="s">
        <v>41</v>
      </c>
      <c r="D127" s="14" t="n">
        <f aca="false">IFERROR((D126-D125)/D125,0)</f>
        <v>-0.0928571428571429</v>
      </c>
      <c r="E127" s="14" t="n">
        <f aca="false">IFERROR((E126-E125)/E125,0)</f>
        <v>0.0689655172413793</v>
      </c>
      <c r="F127" s="14" t="n">
        <f aca="false">IFERROR((F126-F125)/F125,0)</f>
        <v>-0.0428571428571428</v>
      </c>
      <c r="G127" s="14" t="n">
        <f aca="false">IFERROR((G126-G125)/G125,0)</f>
        <v>0.0379310344827587</v>
      </c>
      <c r="H127" s="14" t="n">
        <f aca="false">IFERROR((H126-H125)/H125,0)</f>
        <v>0.103333333333333</v>
      </c>
      <c r="I127" s="14" t="n">
        <f aca="false">IFERROR((I126-I125)/I125,0)</f>
        <v>0.234328358208955</v>
      </c>
      <c r="J127" s="14" t="n">
        <f aca="false">IFERROR((J126-J125)/J125,0)</f>
        <v>1.08</v>
      </c>
      <c r="K127" s="15" t="n">
        <f aca="false">IFERROR((SUM(D126:J126)-SUM(D125:J125))/SUM(D125:J125),0)</f>
        <v>0.191101694915254</v>
      </c>
    </row>
    <row r="128" customFormat="false" ht="15" hidden="false" customHeight="true" outlineLevel="0" collapsed="false">
      <c r="A128" s="42" t="s">
        <v>706</v>
      </c>
      <c r="B128" s="43" t="s">
        <v>707</v>
      </c>
      <c r="C128" s="5" t="s">
        <v>26</v>
      </c>
      <c r="D128" s="6" t="n">
        <v>41</v>
      </c>
      <c r="E128" s="6" t="n">
        <v>28</v>
      </c>
      <c r="F128" s="6" t="n">
        <v>44</v>
      </c>
      <c r="G128" s="6" t="n">
        <v>28</v>
      </c>
      <c r="H128" s="6" t="n">
        <v>23</v>
      </c>
      <c r="I128" s="6" t="n">
        <v>40</v>
      </c>
      <c r="J128" s="6" t="n">
        <v>26</v>
      </c>
      <c r="K128" s="7" t="n">
        <f aca="false">SUM(D128:J128)</f>
        <v>230</v>
      </c>
    </row>
    <row r="129" customFormat="false" ht="15" hidden="false" customHeight="false" outlineLevel="0" collapsed="false">
      <c r="A129" s="42"/>
      <c r="B129" s="42"/>
      <c r="C129" s="44" t="s">
        <v>14</v>
      </c>
      <c r="D129" s="9" t="n">
        <v>32.6</v>
      </c>
      <c r="E129" s="9" t="n">
        <v>32.3</v>
      </c>
      <c r="F129" s="9" t="n">
        <v>32.7</v>
      </c>
      <c r="G129" s="9" t="n">
        <v>30</v>
      </c>
      <c r="H129" s="9" t="n">
        <v>26.9</v>
      </c>
      <c r="I129" s="9" t="n">
        <v>47.8</v>
      </c>
      <c r="J129" s="9" t="n">
        <v>50.6</v>
      </c>
      <c r="K129" s="10" t="n">
        <f aca="false">SUM(D129:J129)</f>
        <v>252.9</v>
      </c>
    </row>
    <row r="130" customFormat="false" ht="15" hidden="false" customHeight="false" outlineLevel="0" collapsed="false">
      <c r="A130" s="42"/>
      <c r="B130" s="42"/>
      <c r="C130" s="11" t="s">
        <v>41</v>
      </c>
      <c r="D130" s="14" t="n">
        <f aca="false">IFERROR((D129-D128)/D128,0)</f>
        <v>-0.204878048780488</v>
      </c>
      <c r="E130" s="14" t="n">
        <f aca="false">IFERROR((E129-E128)/E128,0)</f>
        <v>0.153571428571428</v>
      </c>
      <c r="F130" s="14" t="n">
        <f aca="false">IFERROR((F129-F128)/F128,0)</f>
        <v>-0.256818181818182</v>
      </c>
      <c r="G130" s="14" t="n">
        <f aca="false">IFERROR((G129-G128)/G128,0)</f>
        <v>0.0714285714285714</v>
      </c>
      <c r="H130" s="14" t="n">
        <f aca="false">IFERROR((H129-H128)/H128,0)</f>
        <v>0.169565217391304</v>
      </c>
      <c r="I130" s="14" t="n">
        <f aca="false">IFERROR((I129-I128)/I128,0)</f>
        <v>0.195</v>
      </c>
      <c r="J130" s="14" t="n">
        <f aca="false">IFERROR((J129-J128)/J128,0)</f>
        <v>0.946153846153846</v>
      </c>
      <c r="K130" s="15" t="n">
        <f aca="false">IFERROR((SUM(D129:J129)-SUM(D128:J128))/SUM(D128:J128),0)</f>
        <v>0.0995652173913044</v>
      </c>
    </row>
    <row r="131" customFormat="false" ht="15" hidden="false" customHeight="true" outlineLevel="0" collapsed="false">
      <c r="A131" s="42" t="s">
        <v>708</v>
      </c>
      <c r="B131" s="43" t="s">
        <v>709</v>
      </c>
      <c r="C131" s="5" t="s">
        <v>26</v>
      </c>
      <c r="D131" s="6" t="n">
        <v>27</v>
      </c>
      <c r="E131" s="6" t="n">
        <v>16</v>
      </c>
      <c r="F131" s="6" t="n">
        <v>15</v>
      </c>
      <c r="G131" s="6" t="n">
        <v>27</v>
      </c>
      <c r="H131" s="6" t="n">
        <v>17</v>
      </c>
      <c r="I131" s="6" t="n">
        <v>81</v>
      </c>
      <c r="J131" s="6" t="n">
        <v>38</v>
      </c>
      <c r="K131" s="7" t="n">
        <f aca="false">SUM(D131:J131)</f>
        <v>221</v>
      </c>
    </row>
    <row r="132" customFormat="false" ht="15" hidden="false" customHeight="false" outlineLevel="0" collapsed="false">
      <c r="A132" s="42"/>
      <c r="B132" s="42"/>
      <c r="C132" s="44" t="s">
        <v>14</v>
      </c>
      <c r="D132" s="9" t="n">
        <v>31.2</v>
      </c>
      <c r="E132" s="9" t="n">
        <v>34.1</v>
      </c>
      <c r="F132" s="9" t="n">
        <v>29.3</v>
      </c>
      <c r="G132" s="9" t="n">
        <v>27.8</v>
      </c>
      <c r="H132" s="9" t="n">
        <v>34.6</v>
      </c>
      <c r="I132" s="9" t="n">
        <v>63.1</v>
      </c>
      <c r="J132" s="9" t="n">
        <v>38.4</v>
      </c>
      <c r="K132" s="10" t="n">
        <f aca="false">SUM(D132:J132)</f>
        <v>258.5</v>
      </c>
    </row>
    <row r="133" customFormat="false" ht="15" hidden="false" customHeight="false" outlineLevel="0" collapsed="false">
      <c r="A133" s="42"/>
      <c r="B133" s="42"/>
      <c r="C133" s="11" t="s">
        <v>41</v>
      </c>
      <c r="D133" s="14" t="n">
        <f aca="false">IFERROR((D132-D131)/D131,0)</f>
        <v>0.155555555555556</v>
      </c>
      <c r="E133" s="14" t="n">
        <f aca="false">IFERROR((E132-E131)/E131,0)</f>
        <v>1.13125</v>
      </c>
      <c r="F133" s="14" t="n">
        <f aca="false">IFERROR((F132-F131)/F131,0)</f>
        <v>0.953333333333333</v>
      </c>
      <c r="G133" s="14" t="n">
        <f aca="false">IFERROR((G132-G131)/G131,0)</f>
        <v>0.0296296296296297</v>
      </c>
      <c r="H133" s="14" t="n">
        <f aca="false">IFERROR((H132-H131)/H131,0)</f>
        <v>1.03529411764706</v>
      </c>
      <c r="I133" s="14" t="n">
        <f aca="false">IFERROR((I132-I131)/I131,0)</f>
        <v>-0.220987654320988</v>
      </c>
      <c r="J133" s="14" t="n">
        <f aca="false">IFERROR((J132-J131)/J131,0)</f>
        <v>0.0105263157894736</v>
      </c>
      <c r="K133" s="15" t="n">
        <f aca="false">IFERROR((SUM(D132:J132)-SUM(D131:J131))/SUM(D131:J131),0)</f>
        <v>0.169683257918552</v>
      </c>
    </row>
    <row r="134" customFormat="false" ht="15" hidden="false" customHeight="true" outlineLevel="0" collapsed="false">
      <c r="A134" s="42" t="s">
        <v>710</v>
      </c>
      <c r="B134" s="43" t="s">
        <v>684</v>
      </c>
      <c r="C134" s="5" t="s">
        <v>26</v>
      </c>
      <c r="D134" s="6" t="n">
        <v>35</v>
      </c>
      <c r="E134" s="6" t="n">
        <v>37</v>
      </c>
      <c r="F134" s="6" t="n">
        <v>36</v>
      </c>
      <c r="G134" s="6" t="n">
        <v>23</v>
      </c>
      <c r="H134" s="6" t="n">
        <v>27</v>
      </c>
      <c r="I134" s="6" t="n">
        <v>37</v>
      </c>
      <c r="J134" s="6" t="n">
        <v>24</v>
      </c>
      <c r="K134" s="7" t="n">
        <f aca="false">SUM(D134:J134)</f>
        <v>219</v>
      </c>
    </row>
    <row r="135" customFormat="false" ht="15" hidden="false" customHeight="false" outlineLevel="0" collapsed="false">
      <c r="A135" s="42"/>
      <c r="B135" s="42"/>
      <c r="C135" s="44" t="s">
        <v>14</v>
      </c>
      <c r="D135" s="9" t="n">
        <v>35.4</v>
      </c>
      <c r="E135" s="9" t="n">
        <v>40.2</v>
      </c>
      <c r="F135" s="9" t="n">
        <v>33.1</v>
      </c>
      <c r="G135" s="9" t="n">
        <v>27.8</v>
      </c>
      <c r="H135" s="9" t="n">
        <v>27.4</v>
      </c>
      <c r="I135" s="9" t="n">
        <v>38.1</v>
      </c>
      <c r="J135" s="9" t="n">
        <v>43.9</v>
      </c>
      <c r="K135" s="10" t="n">
        <f aca="false">SUM(D135:J135)</f>
        <v>245.9</v>
      </c>
    </row>
    <row r="136" customFormat="false" ht="15" hidden="false" customHeight="false" outlineLevel="0" collapsed="false">
      <c r="A136" s="42"/>
      <c r="B136" s="42"/>
      <c r="C136" s="11" t="s">
        <v>41</v>
      </c>
      <c r="D136" s="14" t="n">
        <f aca="false">IFERROR((D135-D134)/D134,0)</f>
        <v>0.0114285714285714</v>
      </c>
      <c r="E136" s="14" t="n">
        <f aca="false">IFERROR((E135-E134)/E134,0)</f>
        <v>0.0864864864864866</v>
      </c>
      <c r="F136" s="14" t="n">
        <f aca="false">IFERROR((F135-F134)/F134,0)</f>
        <v>-0.0805555555555555</v>
      </c>
      <c r="G136" s="14" t="n">
        <f aca="false">IFERROR((G135-G134)/G134,0)</f>
        <v>0.208695652173913</v>
      </c>
      <c r="H136" s="14" t="n">
        <f aca="false">IFERROR((H135-H134)/H134,0)</f>
        <v>0.0148148148148148</v>
      </c>
      <c r="I136" s="14" t="n">
        <f aca="false">IFERROR((I135-I134)/I134,0)</f>
        <v>0.0297297297297298</v>
      </c>
      <c r="J136" s="14" t="n">
        <f aca="false">IFERROR((J135-J134)/J134,0)</f>
        <v>0.829166666666667</v>
      </c>
      <c r="K136" s="15" t="n">
        <f aca="false">IFERROR((SUM(D135:J135)-SUM(D134:J134))/SUM(D134:J134),0)</f>
        <v>0.122831050228311</v>
      </c>
    </row>
    <row r="137" customFormat="false" ht="15" hidden="false" customHeight="true" outlineLevel="0" collapsed="false">
      <c r="A137" s="42" t="s">
        <v>711</v>
      </c>
      <c r="B137" s="43" t="s">
        <v>712</v>
      </c>
      <c r="C137" s="5" t="s">
        <v>26</v>
      </c>
      <c r="D137" s="6" t="n">
        <v>22</v>
      </c>
      <c r="E137" s="6" t="n">
        <v>22</v>
      </c>
      <c r="F137" s="6" t="n">
        <v>37</v>
      </c>
      <c r="G137" s="6" t="n">
        <v>38</v>
      </c>
      <c r="H137" s="6" t="n">
        <v>44</v>
      </c>
      <c r="I137" s="6" t="n">
        <v>28</v>
      </c>
      <c r="J137" s="6" t="n">
        <v>18</v>
      </c>
      <c r="K137" s="7" t="n">
        <f aca="false">SUM(D137:J137)</f>
        <v>209</v>
      </c>
    </row>
    <row r="138" customFormat="false" ht="15" hidden="false" customHeight="false" outlineLevel="0" collapsed="false">
      <c r="A138" s="42"/>
      <c r="B138" s="42"/>
      <c r="C138" s="44" t="s">
        <v>14</v>
      </c>
      <c r="D138" s="9" t="n">
        <v>30.1</v>
      </c>
      <c r="E138" s="9" t="n">
        <v>28.5</v>
      </c>
      <c r="F138" s="9" t="n">
        <v>23.7</v>
      </c>
      <c r="G138" s="9" t="n">
        <v>31</v>
      </c>
      <c r="H138" s="9" t="n">
        <v>34.8</v>
      </c>
      <c r="I138" s="9" t="n">
        <v>51.8</v>
      </c>
      <c r="J138" s="9" t="n">
        <v>29</v>
      </c>
      <c r="K138" s="10" t="n">
        <f aca="false">SUM(D138:J138)</f>
        <v>228.9</v>
      </c>
    </row>
    <row r="139" customFormat="false" ht="15" hidden="false" customHeight="false" outlineLevel="0" collapsed="false">
      <c r="A139" s="42"/>
      <c r="B139" s="42"/>
      <c r="C139" s="11" t="s">
        <v>41</v>
      </c>
      <c r="D139" s="14" t="n">
        <f aca="false">IFERROR((D138-D137)/D137,0)</f>
        <v>0.368181818181818</v>
      </c>
      <c r="E139" s="14" t="n">
        <f aca="false">IFERROR((E138-E137)/E137,0)</f>
        <v>0.295454545454545</v>
      </c>
      <c r="F139" s="14" t="n">
        <f aca="false">IFERROR((F138-F137)/F137,0)</f>
        <v>-0.359459459459459</v>
      </c>
      <c r="G139" s="14" t="n">
        <f aca="false">IFERROR((G138-G137)/G137,0)</f>
        <v>-0.184210526315789</v>
      </c>
      <c r="H139" s="14" t="n">
        <f aca="false">IFERROR((H138-H137)/H137,0)</f>
        <v>-0.209090909090909</v>
      </c>
      <c r="I139" s="14" t="n">
        <f aca="false">IFERROR((I138-I137)/I137,0)</f>
        <v>0.85</v>
      </c>
      <c r="J139" s="14" t="n">
        <f aca="false">IFERROR((J138-J137)/J137,0)</f>
        <v>0.611111111111111</v>
      </c>
      <c r="K139" s="15" t="n">
        <f aca="false">IFERROR((SUM(D138:J138)-SUM(D137:J137))/SUM(D137:J137),0)</f>
        <v>0.0952153110047847</v>
      </c>
    </row>
    <row r="140" customFormat="false" ht="15" hidden="false" customHeight="true" outlineLevel="0" collapsed="false">
      <c r="A140" s="42" t="s">
        <v>713</v>
      </c>
      <c r="B140" s="43" t="s">
        <v>714</v>
      </c>
      <c r="C140" s="5" t="s">
        <v>26</v>
      </c>
      <c r="D140" s="6" t="n">
        <v>24</v>
      </c>
      <c r="E140" s="6" t="n">
        <v>29</v>
      </c>
      <c r="F140" s="6" t="n">
        <v>30</v>
      </c>
      <c r="G140" s="6" t="n">
        <v>32</v>
      </c>
      <c r="H140" s="6" t="n">
        <v>31</v>
      </c>
      <c r="I140" s="6" t="n">
        <v>41</v>
      </c>
      <c r="J140" s="6" t="n">
        <v>22</v>
      </c>
      <c r="K140" s="7" t="n">
        <f aca="false">SUM(D140:J140)</f>
        <v>209</v>
      </c>
    </row>
    <row r="141" customFormat="false" ht="15" hidden="false" customHeight="false" outlineLevel="0" collapsed="false">
      <c r="A141" s="42"/>
      <c r="B141" s="42"/>
      <c r="C141" s="44" t="s">
        <v>14</v>
      </c>
      <c r="D141" s="9" t="n">
        <v>28.6</v>
      </c>
      <c r="E141" s="9" t="n">
        <v>31.5</v>
      </c>
      <c r="F141" s="9" t="n">
        <v>27.4</v>
      </c>
      <c r="G141" s="9" t="n">
        <v>27.7</v>
      </c>
      <c r="H141" s="9" t="n">
        <v>29.9</v>
      </c>
      <c r="I141" s="9" t="n">
        <v>37.9</v>
      </c>
      <c r="J141" s="9" t="n">
        <v>32</v>
      </c>
      <c r="K141" s="10" t="n">
        <f aca="false">SUM(D141:J141)</f>
        <v>215</v>
      </c>
    </row>
    <row r="142" customFormat="false" ht="15" hidden="false" customHeight="false" outlineLevel="0" collapsed="false">
      <c r="A142" s="42"/>
      <c r="B142" s="42"/>
      <c r="C142" s="11" t="s">
        <v>41</v>
      </c>
      <c r="D142" s="14" t="n">
        <f aca="false">IFERROR((D141-D140)/D140,0)</f>
        <v>0.191666666666667</v>
      </c>
      <c r="E142" s="14" t="n">
        <f aca="false">IFERROR((E141-E140)/E140,0)</f>
        <v>0.0862068965517241</v>
      </c>
      <c r="F142" s="14" t="n">
        <f aca="false">IFERROR((F141-F140)/F140,0)</f>
        <v>-0.0866666666666667</v>
      </c>
      <c r="G142" s="14" t="n">
        <f aca="false">IFERROR((G141-G140)/G140,0)</f>
        <v>-0.134375</v>
      </c>
      <c r="H142" s="14" t="n">
        <f aca="false">IFERROR((H141-H140)/H140,0)</f>
        <v>-0.035483870967742</v>
      </c>
      <c r="I142" s="14" t="n">
        <f aca="false">IFERROR((I141-I140)/I140,0)</f>
        <v>-0.075609756097561</v>
      </c>
      <c r="J142" s="14" t="n">
        <f aca="false">IFERROR((J141-J140)/J140,0)</f>
        <v>0.454545454545455</v>
      </c>
      <c r="K142" s="15" t="n">
        <f aca="false">IFERROR((SUM(D141:J141)-SUM(D140:J140))/SUM(D140:J140),0)</f>
        <v>0.0287081339712919</v>
      </c>
    </row>
    <row r="143" customFormat="false" ht="15" hidden="false" customHeight="true" outlineLevel="0" collapsed="false">
      <c r="A143" s="42" t="s">
        <v>715</v>
      </c>
      <c r="B143" s="43" t="s">
        <v>716</v>
      </c>
      <c r="C143" s="5" t="s">
        <v>26</v>
      </c>
      <c r="D143" s="6" t="n">
        <v>15</v>
      </c>
      <c r="E143" s="6" t="n">
        <v>28</v>
      </c>
      <c r="F143" s="6" t="n">
        <v>19</v>
      </c>
      <c r="G143" s="6" t="n">
        <v>21</v>
      </c>
      <c r="H143" s="6" t="n">
        <v>23</v>
      </c>
      <c r="I143" s="6" t="n">
        <v>62</v>
      </c>
      <c r="J143" s="6" t="n">
        <v>30</v>
      </c>
      <c r="K143" s="7" t="n">
        <f aca="false">SUM(D143:J143)</f>
        <v>198</v>
      </c>
    </row>
    <row r="144" customFormat="false" ht="15" hidden="false" customHeight="false" outlineLevel="0" collapsed="false">
      <c r="A144" s="42"/>
      <c r="B144" s="42"/>
      <c r="C144" s="44" t="s">
        <v>14</v>
      </c>
      <c r="D144" s="9" t="n">
        <v>20.4</v>
      </c>
      <c r="E144" s="9" t="n">
        <v>25.9</v>
      </c>
      <c r="F144" s="9" t="n">
        <v>22.2</v>
      </c>
      <c r="G144" s="9" t="n">
        <v>15.8</v>
      </c>
      <c r="H144" s="9" t="n">
        <v>21.4</v>
      </c>
      <c r="I144" s="9" t="n">
        <v>48.1</v>
      </c>
      <c r="J144" s="9" t="n">
        <v>37.7</v>
      </c>
      <c r="K144" s="10" t="n">
        <f aca="false">SUM(D144:J144)</f>
        <v>191.5</v>
      </c>
    </row>
    <row r="145" customFormat="false" ht="15" hidden="false" customHeight="false" outlineLevel="0" collapsed="false">
      <c r="A145" s="42"/>
      <c r="B145" s="42"/>
      <c r="C145" s="11" t="s">
        <v>41</v>
      </c>
      <c r="D145" s="14" t="n">
        <f aca="false">IFERROR((D144-D143)/D143,0)</f>
        <v>0.36</v>
      </c>
      <c r="E145" s="14" t="n">
        <f aca="false">IFERROR((E144-E143)/E143,0)</f>
        <v>-0.0750000000000001</v>
      </c>
      <c r="F145" s="14" t="n">
        <f aca="false">IFERROR((F144-F143)/F143,0)</f>
        <v>0.168421052631579</v>
      </c>
      <c r="G145" s="14" t="n">
        <f aca="false">IFERROR((G144-G143)/G143,0)</f>
        <v>-0.247619047619048</v>
      </c>
      <c r="H145" s="14" t="n">
        <f aca="false">IFERROR((H144-H143)/H143,0)</f>
        <v>-0.0695652173913044</v>
      </c>
      <c r="I145" s="14" t="n">
        <f aca="false">IFERROR((I144-I143)/I143,0)</f>
        <v>-0.224193548387097</v>
      </c>
      <c r="J145" s="14" t="n">
        <f aca="false">IFERROR((J144-J143)/J143,0)</f>
        <v>0.256666666666667</v>
      </c>
      <c r="K145" s="15" t="n">
        <f aca="false">IFERROR((SUM(D144:J144)-SUM(D143:J143))/SUM(D143:J143),0)</f>
        <v>-0.0328282828282828</v>
      </c>
    </row>
    <row r="146" customFormat="false" ht="15" hidden="false" customHeight="true" outlineLevel="0" collapsed="false">
      <c r="A146" s="42" t="s">
        <v>717</v>
      </c>
      <c r="B146" s="43" t="s">
        <v>718</v>
      </c>
      <c r="C146" s="5" t="s">
        <v>26</v>
      </c>
      <c r="D146" s="6" t="n">
        <v>1</v>
      </c>
      <c r="E146" s="6" t="n">
        <v>28</v>
      </c>
      <c r="F146" s="6" t="n">
        <v>29</v>
      </c>
      <c r="G146" s="6" t="n">
        <v>50</v>
      </c>
      <c r="H146" s="6" t="n">
        <v>46</v>
      </c>
      <c r="I146" s="6" t="n">
        <v>20</v>
      </c>
      <c r="J146" s="6" t="n">
        <v>11</v>
      </c>
      <c r="K146" s="7" t="n">
        <f aca="false">SUM(D146:J146)</f>
        <v>185</v>
      </c>
    </row>
    <row r="147" customFormat="false" ht="15" hidden="false" customHeight="false" outlineLevel="0" collapsed="false">
      <c r="A147" s="42"/>
      <c r="B147" s="42"/>
      <c r="C147" s="44" t="s">
        <v>14</v>
      </c>
      <c r="D147" s="9" t="n">
        <v>1.5</v>
      </c>
      <c r="E147" s="9" t="n">
        <v>5.5</v>
      </c>
      <c r="F147" s="9" t="n">
        <v>23.3</v>
      </c>
      <c r="G147" s="9" t="n">
        <v>27.4</v>
      </c>
      <c r="H147" s="9" t="n">
        <v>28.7</v>
      </c>
      <c r="I147" s="9" t="n">
        <v>30.6</v>
      </c>
      <c r="J147" s="9" t="n">
        <v>13</v>
      </c>
      <c r="K147" s="10" t="n">
        <f aca="false">SUM(D147:J147)</f>
        <v>130</v>
      </c>
    </row>
    <row r="148" customFormat="false" ht="15" hidden="false" customHeight="false" outlineLevel="0" collapsed="false">
      <c r="A148" s="42"/>
      <c r="B148" s="42"/>
      <c r="C148" s="11" t="s">
        <v>41</v>
      </c>
      <c r="D148" s="14" t="n">
        <f aca="false">IFERROR((D147-D146)/D146,0)</f>
        <v>0.5</v>
      </c>
      <c r="E148" s="14" t="n">
        <f aca="false">IFERROR((E147-E146)/E146,0)</f>
        <v>-0.803571428571429</v>
      </c>
      <c r="F148" s="14" t="n">
        <f aca="false">IFERROR((F147-F146)/F146,0)</f>
        <v>-0.196551724137931</v>
      </c>
      <c r="G148" s="14" t="n">
        <f aca="false">IFERROR((G147-G146)/G146,0)</f>
        <v>-0.452</v>
      </c>
      <c r="H148" s="14" t="n">
        <f aca="false">IFERROR((H147-H146)/H146,0)</f>
        <v>-0.376086956521739</v>
      </c>
      <c r="I148" s="14" t="n">
        <f aca="false">IFERROR((I147-I146)/I146,0)</f>
        <v>0.53</v>
      </c>
      <c r="J148" s="14" t="n">
        <f aca="false">IFERROR((J147-J146)/J146,0)</f>
        <v>0.181818181818182</v>
      </c>
      <c r="K148" s="15" t="n">
        <f aca="false">IFERROR((SUM(D147:J147)-SUM(D146:J146))/SUM(D146:J146),0)</f>
        <v>-0.297297297297297</v>
      </c>
    </row>
    <row r="149" customFormat="false" ht="15" hidden="false" customHeight="true" outlineLevel="0" collapsed="false">
      <c r="A149" s="42" t="s">
        <v>719</v>
      </c>
      <c r="B149" s="43" t="s">
        <v>720</v>
      </c>
      <c r="C149" s="5" t="s">
        <v>26</v>
      </c>
      <c r="D149" s="6" t="n">
        <v>11</v>
      </c>
      <c r="E149" s="6" t="n">
        <v>18</v>
      </c>
      <c r="F149" s="6" t="n">
        <v>18</v>
      </c>
      <c r="G149" s="6" t="n">
        <v>18</v>
      </c>
      <c r="H149" s="6" t="n">
        <v>36</v>
      </c>
      <c r="I149" s="6" t="n">
        <v>53</v>
      </c>
      <c r="J149" s="6" t="n">
        <v>27</v>
      </c>
      <c r="K149" s="7" t="n">
        <f aca="false">SUM(D149:J149)</f>
        <v>181</v>
      </c>
    </row>
    <row r="150" customFormat="false" ht="15" hidden="false" customHeight="false" outlineLevel="0" collapsed="false">
      <c r="A150" s="42"/>
      <c r="B150" s="42"/>
      <c r="C150" s="44" t="s">
        <v>14</v>
      </c>
      <c r="D150" s="9" t="n">
        <v>9.8</v>
      </c>
      <c r="E150" s="9" t="n">
        <v>12.2</v>
      </c>
      <c r="F150" s="9" t="n">
        <v>20.8</v>
      </c>
      <c r="G150" s="9" t="n">
        <v>12.8</v>
      </c>
      <c r="H150" s="9" t="n">
        <v>16</v>
      </c>
      <c r="I150" s="9" t="n">
        <v>44.7</v>
      </c>
      <c r="J150" s="9" t="n">
        <v>21.3</v>
      </c>
      <c r="K150" s="10" t="n">
        <f aca="false">SUM(D150:J150)</f>
        <v>137.6</v>
      </c>
    </row>
    <row r="151" customFormat="false" ht="15" hidden="false" customHeight="false" outlineLevel="0" collapsed="false">
      <c r="A151" s="42"/>
      <c r="B151" s="42"/>
      <c r="C151" s="11" t="s">
        <v>41</v>
      </c>
      <c r="D151" s="14" t="n">
        <f aca="false">IFERROR((D150-D149)/D149,0)</f>
        <v>-0.109090909090909</v>
      </c>
      <c r="E151" s="14" t="n">
        <f aca="false">IFERROR((E150-E149)/E149,0)</f>
        <v>-0.322222222222222</v>
      </c>
      <c r="F151" s="14" t="n">
        <f aca="false">IFERROR((F150-F149)/F149,0)</f>
        <v>0.155555555555556</v>
      </c>
      <c r="G151" s="14" t="n">
        <f aca="false">IFERROR((G150-G149)/G149,0)</f>
        <v>-0.288888888888889</v>
      </c>
      <c r="H151" s="14" t="n">
        <f aca="false">IFERROR((H150-H149)/H149,0)</f>
        <v>-0.555555555555556</v>
      </c>
      <c r="I151" s="14" t="n">
        <f aca="false">IFERROR((I150-I149)/I149,0)</f>
        <v>-0.156603773584906</v>
      </c>
      <c r="J151" s="14" t="n">
        <f aca="false">IFERROR((J150-J149)/J149,0)</f>
        <v>-0.211111111111111</v>
      </c>
      <c r="K151" s="15" t="n">
        <f aca="false">IFERROR((SUM(D150:J150)-SUM(D149:J149))/SUM(D149:J149),0)</f>
        <v>-0.239779005524862</v>
      </c>
    </row>
    <row r="152" customFormat="false" ht="15" hidden="false" customHeight="true" outlineLevel="0" collapsed="false">
      <c r="A152" s="42" t="s">
        <v>721</v>
      </c>
      <c r="B152" s="43" t="s">
        <v>722</v>
      </c>
      <c r="C152" s="5" t="s">
        <v>26</v>
      </c>
      <c r="D152" s="6" t="n">
        <v>39</v>
      </c>
      <c r="E152" s="6" t="n">
        <v>33</v>
      </c>
      <c r="F152" s="6" t="n">
        <v>19</v>
      </c>
      <c r="G152" s="6" t="n">
        <v>21</v>
      </c>
      <c r="H152" s="6" t="n">
        <v>19</v>
      </c>
      <c r="I152" s="6" t="n">
        <v>27</v>
      </c>
      <c r="J152" s="6" t="n">
        <v>16</v>
      </c>
      <c r="K152" s="7" t="n">
        <f aca="false">SUM(D152:J152)</f>
        <v>174</v>
      </c>
    </row>
    <row r="153" customFormat="false" ht="15" hidden="false" customHeight="false" outlineLevel="0" collapsed="false">
      <c r="A153" s="42"/>
      <c r="B153" s="42"/>
      <c r="C153" s="44" t="s">
        <v>14</v>
      </c>
      <c r="D153" s="9" t="n">
        <v>33.6</v>
      </c>
      <c r="E153" s="9" t="n">
        <v>33.4</v>
      </c>
      <c r="F153" s="9" t="n">
        <v>24.6</v>
      </c>
      <c r="G153" s="9" t="n">
        <v>20.5</v>
      </c>
      <c r="H153" s="9" t="n">
        <v>27.3</v>
      </c>
      <c r="I153" s="9" t="n">
        <v>36.1</v>
      </c>
      <c r="J153" s="9" t="n">
        <v>29.4</v>
      </c>
      <c r="K153" s="10" t="n">
        <f aca="false">SUM(D153:J153)</f>
        <v>204.9</v>
      </c>
    </row>
    <row r="154" customFormat="false" ht="15" hidden="false" customHeight="false" outlineLevel="0" collapsed="false">
      <c r="A154" s="42"/>
      <c r="B154" s="42"/>
      <c r="C154" s="11" t="s">
        <v>41</v>
      </c>
      <c r="D154" s="14" t="n">
        <f aca="false">IFERROR((D153-D152)/D152,0)</f>
        <v>-0.138461538461538</v>
      </c>
      <c r="E154" s="14" t="n">
        <f aca="false">IFERROR((E153-E152)/E152,0)</f>
        <v>0.0121212121212121</v>
      </c>
      <c r="F154" s="14" t="n">
        <f aca="false">IFERROR((F153-F152)/F152,0)</f>
        <v>0.294736842105263</v>
      </c>
      <c r="G154" s="14" t="n">
        <f aca="false">IFERROR((G153-G152)/G152,0)</f>
        <v>-0.0238095238095238</v>
      </c>
      <c r="H154" s="14" t="n">
        <f aca="false">IFERROR((H153-H152)/H152,0)</f>
        <v>0.436842105263158</v>
      </c>
      <c r="I154" s="14" t="n">
        <f aca="false">IFERROR((I153-I152)/I152,0)</f>
        <v>0.337037037037037</v>
      </c>
      <c r="J154" s="14" t="n">
        <f aca="false">IFERROR((J153-J152)/J152,0)</f>
        <v>0.8375</v>
      </c>
      <c r="K154" s="15" t="n">
        <f aca="false">IFERROR((SUM(D153:J153)-SUM(D152:J152))/SUM(D152:J152),0)</f>
        <v>0.177586206896552</v>
      </c>
    </row>
    <row r="155" customFormat="false" ht="15" hidden="false" customHeight="true" outlineLevel="0" collapsed="false">
      <c r="A155" s="42" t="s">
        <v>723</v>
      </c>
      <c r="B155" s="43" t="s">
        <v>724</v>
      </c>
      <c r="C155" s="5" t="s">
        <v>26</v>
      </c>
      <c r="D155" s="6" t="n">
        <v>22</v>
      </c>
      <c r="E155" s="6" t="n">
        <v>22</v>
      </c>
      <c r="F155" s="6" t="n">
        <v>29</v>
      </c>
      <c r="G155" s="6" t="n">
        <v>43</v>
      </c>
      <c r="H155" s="6" t="n">
        <v>20</v>
      </c>
      <c r="I155" s="6" t="n">
        <v>19</v>
      </c>
      <c r="J155" s="6" t="n">
        <v>9</v>
      </c>
      <c r="K155" s="7" t="n">
        <f aca="false">SUM(D155:J155)</f>
        <v>164</v>
      </c>
    </row>
    <row r="156" customFormat="false" ht="15" hidden="false" customHeight="false" outlineLevel="0" collapsed="false">
      <c r="A156" s="42"/>
      <c r="B156" s="42"/>
      <c r="C156" s="44" t="s">
        <v>14</v>
      </c>
      <c r="D156" s="9" t="n">
        <v>22.7</v>
      </c>
      <c r="E156" s="9" t="n">
        <v>23.1</v>
      </c>
      <c r="F156" s="9" t="n">
        <v>20</v>
      </c>
      <c r="G156" s="9" t="n">
        <v>20.7</v>
      </c>
      <c r="H156" s="9" t="n">
        <v>24.7</v>
      </c>
      <c r="I156" s="9" t="n">
        <v>24.2</v>
      </c>
      <c r="J156" s="9" t="n">
        <v>21.7</v>
      </c>
      <c r="K156" s="10" t="n">
        <f aca="false">SUM(D156:J156)</f>
        <v>157.1</v>
      </c>
    </row>
    <row r="157" customFormat="false" ht="15" hidden="false" customHeight="false" outlineLevel="0" collapsed="false">
      <c r="A157" s="42"/>
      <c r="B157" s="42"/>
      <c r="C157" s="11" t="s">
        <v>41</v>
      </c>
      <c r="D157" s="14" t="n">
        <f aca="false">IFERROR((D156-D155)/D155,0)</f>
        <v>0.0318181818181818</v>
      </c>
      <c r="E157" s="14" t="n">
        <f aca="false">IFERROR((E156-E155)/E155,0)</f>
        <v>0.0500000000000001</v>
      </c>
      <c r="F157" s="14" t="n">
        <f aca="false">IFERROR((F156-F155)/F155,0)</f>
        <v>-0.310344827586207</v>
      </c>
      <c r="G157" s="14" t="n">
        <f aca="false">IFERROR((G156-G155)/G155,0)</f>
        <v>-0.518604651162791</v>
      </c>
      <c r="H157" s="14" t="n">
        <f aca="false">IFERROR((H156-H155)/H155,0)</f>
        <v>0.235</v>
      </c>
      <c r="I157" s="14" t="n">
        <f aca="false">IFERROR((I156-I155)/I155,0)</f>
        <v>0.273684210526316</v>
      </c>
      <c r="J157" s="14" t="n">
        <f aca="false">IFERROR((J156-J155)/J155,0)</f>
        <v>1.41111111111111</v>
      </c>
      <c r="K157" s="15" t="n">
        <f aca="false">IFERROR((SUM(D156:J156)-SUM(D155:J155))/SUM(D155:J155),0)</f>
        <v>-0.0420731707317074</v>
      </c>
    </row>
    <row r="158" customFormat="false" ht="15" hidden="false" customHeight="true" outlineLevel="0" collapsed="false">
      <c r="A158" s="42" t="s">
        <v>725</v>
      </c>
      <c r="B158" s="43" t="s">
        <v>726</v>
      </c>
      <c r="C158" s="5" t="s">
        <v>26</v>
      </c>
      <c r="D158" s="6" t="n">
        <v>33</v>
      </c>
      <c r="E158" s="6" t="n">
        <v>33</v>
      </c>
      <c r="F158" s="6" t="n">
        <v>22</v>
      </c>
      <c r="G158" s="6" t="n">
        <v>18</v>
      </c>
      <c r="H158" s="6" t="n">
        <v>25</v>
      </c>
      <c r="I158" s="6" t="n">
        <v>23</v>
      </c>
      <c r="J158" s="6" t="n">
        <v>8</v>
      </c>
      <c r="K158" s="7" t="n">
        <f aca="false">SUM(D158:J158)</f>
        <v>162</v>
      </c>
    </row>
    <row r="159" customFormat="false" ht="15" hidden="false" customHeight="false" outlineLevel="0" collapsed="false">
      <c r="A159" s="42"/>
      <c r="B159" s="42"/>
      <c r="C159" s="44" t="s">
        <v>14</v>
      </c>
      <c r="D159" s="9" t="n">
        <v>22.7</v>
      </c>
      <c r="E159" s="9" t="n">
        <v>27.2</v>
      </c>
      <c r="F159" s="9" t="n">
        <v>25.9</v>
      </c>
      <c r="G159" s="9" t="n">
        <v>22.3</v>
      </c>
      <c r="H159" s="9" t="n">
        <v>20.3</v>
      </c>
      <c r="I159" s="9" t="n">
        <v>33.7</v>
      </c>
      <c r="J159" s="9" t="n">
        <v>13.9</v>
      </c>
      <c r="K159" s="10" t="n">
        <f aca="false">SUM(D159:J159)</f>
        <v>166</v>
      </c>
    </row>
    <row r="160" customFormat="false" ht="15" hidden="false" customHeight="false" outlineLevel="0" collapsed="false">
      <c r="A160" s="42"/>
      <c r="B160" s="42"/>
      <c r="C160" s="11" t="s">
        <v>41</v>
      </c>
      <c r="D160" s="14" t="n">
        <f aca="false">IFERROR((D159-D158)/D158,0)</f>
        <v>-0.312121212121212</v>
      </c>
      <c r="E160" s="14" t="n">
        <f aca="false">IFERROR((E159-E158)/E158,0)</f>
        <v>-0.175757575757576</v>
      </c>
      <c r="F160" s="14" t="n">
        <f aca="false">IFERROR((F159-F158)/F158,0)</f>
        <v>0.177272727272727</v>
      </c>
      <c r="G160" s="14" t="n">
        <f aca="false">IFERROR((G159-G158)/G158,0)</f>
        <v>0.238888888888889</v>
      </c>
      <c r="H160" s="14" t="n">
        <f aca="false">IFERROR((H159-H158)/H158,0)</f>
        <v>-0.188</v>
      </c>
      <c r="I160" s="14" t="n">
        <f aca="false">IFERROR((I159-I158)/I158,0)</f>
        <v>0.465217391304348</v>
      </c>
      <c r="J160" s="14" t="n">
        <f aca="false">IFERROR((J159-J158)/J158,0)</f>
        <v>0.7375</v>
      </c>
      <c r="K160" s="15" t="n">
        <f aca="false">IFERROR((SUM(D159:J159)-SUM(D158:J158))/SUM(D158:J158),0)</f>
        <v>0.0246913580246914</v>
      </c>
    </row>
    <row r="161" customFormat="false" ht="15" hidden="false" customHeight="true" outlineLevel="0" collapsed="false">
      <c r="A161" s="42" t="s">
        <v>727</v>
      </c>
      <c r="B161" s="43" t="s">
        <v>728</v>
      </c>
      <c r="C161" s="5" t="s">
        <v>26</v>
      </c>
      <c r="D161" s="6" t="n">
        <v>27</v>
      </c>
      <c r="E161" s="6" t="n">
        <v>31</v>
      </c>
      <c r="F161" s="6" t="n">
        <v>22</v>
      </c>
      <c r="G161" s="6" t="n">
        <v>27</v>
      </c>
      <c r="H161" s="6" t="n">
        <v>15</v>
      </c>
      <c r="I161" s="6" t="n">
        <v>20</v>
      </c>
      <c r="J161" s="6" t="n">
        <v>11</v>
      </c>
      <c r="K161" s="7" t="n">
        <f aca="false">SUM(D161:J161)</f>
        <v>153</v>
      </c>
    </row>
    <row r="162" customFormat="false" ht="15" hidden="false" customHeight="false" outlineLevel="0" collapsed="false">
      <c r="A162" s="42"/>
      <c r="B162" s="42"/>
      <c r="C162" s="44" t="s">
        <v>14</v>
      </c>
      <c r="D162" s="9" t="n">
        <v>24.1</v>
      </c>
      <c r="E162" s="9" t="n">
        <v>28.8</v>
      </c>
      <c r="F162" s="9" t="n">
        <v>29.1</v>
      </c>
      <c r="G162" s="9" t="n">
        <v>24.2</v>
      </c>
      <c r="H162" s="9" t="n">
        <v>21</v>
      </c>
      <c r="I162" s="9" t="n">
        <v>22.6</v>
      </c>
      <c r="J162" s="9" t="n">
        <v>24.6</v>
      </c>
      <c r="K162" s="10" t="n">
        <f aca="false">SUM(D162:J162)</f>
        <v>174.4</v>
      </c>
    </row>
    <row r="163" customFormat="false" ht="15" hidden="false" customHeight="false" outlineLevel="0" collapsed="false">
      <c r="A163" s="42"/>
      <c r="B163" s="42"/>
      <c r="C163" s="11" t="s">
        <v>41</v>
      </c>
      <c r="D163" s="14" t="n">
        <f aca="false">IFERROR((D162-D161)/D161,0)</f>
        <v>-0.107407407407407</v>
      </c>
      <c r="E163" s="14" t="n">
        <f aca="false">IFERROR((E162-E161)/E161,0)</f>
        <v>-0.0709677419354838</v>
      </c>
      <c r="F163" s="14" t="n">
        <f aca="false">IFERROR((F162-F161)/F161,0)</f>
        <v>0.322727272727273</v>
      </c>
      <c r="G163" s="14" t="n">
        <f aca="false">IFERROR((G162-G161)/G161,0)</f>
        <v>-0.103703703703704</v>
      </c>
      <c r="H163" s="14" t="n">
        <f aca="false">IFERROR((H162-H161)/H161,0)</f>
        <v>0.4</v>
      </c>
      <c r="I163" s="14" t="n">
        <f aca="false">IFERROR((I162-I161)/I161,0)</f>
        <v>0.13</v>
      </c>
      <c r="J163" s="14" t="n">
        <f aca="false">IFERROR((J162-J161)/J161,0)</f>
        <v>1.23636363636364</v>
      </c>
      <c r="K163" s="15" t="n">
        <f aca="false">IFERROR((SUM(D162:J162)-SUM(D161:J161))/SUM(D161:J161),0)</f>
        <v>0.139869281045752</v>
      </c>
    </row>
    <row r="164" customFormat="false" ht="15" hidden="false" customHeight="true" outlineLevel="0" collapsed="false">
      <c r="A164" s="42" t="s">
        <v>729</v>
      </c>
      <c r="B164" s="43" t="s">
        <v>730</v>
      </c>
      <c r="C164" s="5" t="s">
        <v>26</v>
      </c>
      <c r="D164" s="6" t="n">
        <v>26</v>
      </c>
      <c r="E164" s="6" t="n">
        <v>16</v>
      </c>
      <c r="F164" s="6" t="n">
        <v>11</v>
      </c>
      <c r="G164" s="6" t="n">
        <v>21</v>
      </c>
      <c r="H164" s="6" t="n">
        <v>23</v>
      </c>
      <c r="I164" s="6" t="n">
        <v>24</v>
      </c>
      <c r="J164" s="6" t="n">
        <v>15</v>
      </c>
      <c r="K164" s="7" t="n">
        <f aca="false">SUM(D164:J164)</f>
        <v>136</v>
      </c>
    </row>
    <row r="165" customFormat="false" ht="15" hidden="false" customHeight="false" outlineLevel="0" collapsed="false">
      <c r="A165" s="42"/>
      <c r="B165" s="42"/>
      <c r="C165" s="44" t="s">
        <v>14</v>
      </c>
      <c r="D165" s="9" t="n">
        <v>28.5</v>
      </c>
      <c r="E165" s="9" t="n">
        <v>23.2</v>
      </c>
      <c r="F165" s="9" t="n">
        <v>19.3</v>
      </c>
      <c r="G165" s="9" t="n">
        <v>17.6</v>
      </c>
      <c r="H165" s="9" t="n">
        <v>21.9</v>
      </c>
      <c r="I165" s="9" t="n">
        <v>38.4</v>
      </c>
      <c r="J165" s="9" t="n">
        <v>19.9</v>
      </c>
      <c r="K165" s="10" t="n">
        <f aca="false">SUM(D165:J165)</f>
        <v>168.8</v>
      </c>
    </row>
    <row r="166" customFormat="false" ht="15" hidden="false" customHeight="false" outlineLevel="0" collapsed="false">
      <c r="A166" s="42"/>
      <c r="B166" s="42"/>
      <c r="C166" s="11" t="s">
        <v>41</v>
      </c>
      <c r="D166" s="14" t="n">
        <f aca="false">IFERROR((D165-D164)/D164,0)</f>
        <v>0.0961538461538462</v>
      </c>
      <c r="E166" s="14" t="n">
        <f aca="false">IFERROR((E165-E164)/E164,0)</f>
        <v>0.45</v>
      </c>
      <c r="F166" s="14" t="n">
        <f aca="false">IFERROR((F165-F164)/F164,0)</f>
        <v>0.754545454545455</v>
      </c>
      <c r="G166" s="14" t="n">
        <f aca="false">IFERROR((G165-G164)/G164,0)</f>
        <v>-0.161904761904762</v>
      </c>
      <c r="H166" s="14" t="n">
        <f aca="false">IFERROR((H165-H164)/H164,0)</f>
        <v>-0.0478260869565218</v>
      </c>
      <c r="I166" s="14" t="n">
        <f aca="false">IFERROR((I165-I164)/I164,0)</f>
        <v>0.6</v>
      </c>
      <c r="J166" s="14" t="n">
        <f aca="false">IFERROR((J165-J164)/J164,0)</f>
        <v>0.326666666666667</v>
      </c>
      <c r="K166" s="15" t="n">
        <f aca="false">IFERROR((SUM(D165:J165)-SUM(D164:J164))/SUM(D164:J164),0)</f>
        <v>0.241176470588235</v>
      </c>
    </row>
    <row r="167" customFormat="false" ht="15" hidden="false" customHeight="true" outlineLevel="0" collapsed="false">
      <c r="A167" s="42" t="s">
        <v>731</v>
      </c>
      <c r="B167" s="43" t="s">
        <v>732</v>
      </c>
      <c r="C167" s="5" t="s">
        <v>26</v>
      </c>
      <c r="D167" s="6" t="n">
        <v>11</v>
      </c>
      <c r="E167" s="6" t="n">
        <v>35</v>
      </c>
      <c r="F167" s="6" t="n">
        <v>33</v>
      </c>
      <c r="G167" s="6" t="n">
        <v>12</v>
      </c>
      <c r="H167" s="6" t="n">
        <v>12</v>
      </c>
      <c r="I167" s="6" t="n">
        <v>21</v>
      </c>
      <c r="J167" s="6" t="n">
        <v>5</v>
      </c>
      <c r="K167" s="7" t="n">
        <f aca="false">SUM(D167:J167)</f>
        <v>129</v>
      </c>
    </row>
    <row r="168" customFormat="false" ht="15" hidden="false" customHeight="false" outlineLevel="0" collapsed="false">
      <c r="A168" s="42"/>
      <c r="B168" s="42"/>
      <c r="C168" s="44" t="s">
        <v>14</v>
      </c>
      <c r="D168" s="9" t="n">
        <v>7</v>
      </c>
      <c r="E168" s="9" t="n">
        <v>8.2</v>
      </c>
      <c r="F168" s="9" t="n">
        <v>18.7</v>
      </c>
      <c r="G168" s="9" t="n">
        <v>10.1</v>
      </c>
      <c r="H168" s="9" t="n">
        <v>7.9</v>
      </c>
      <c r="I168" s="9" t="n">
        <v>17</v>
      </c>
      <c r="J168" s="9" t="n">
        <v>11.2</v>
      </c>
      <c r="K168" s="10" t="n">
        <f aca="false">SUM(D168:J168)</f>
        <v>80.1</v>
      </c>
    </row>
    <row r="169" customFormat="false" ht="15" hidden="false" customHeight="false" outlineLevel="0" collapsed="false">
      <c r="A169" s="42"/>
      <c r="B169" s="42"/>
      <c r="C169" s="11" t="s">
        <v>41</v>
      </c>
      <c r="D169" s="14" t="n">
        <f aca="false">IFERROR((D168-D167)/D167,0)</f>
        <v>-0.363636363636364</v>
      </c>
      <c r="E169" s="14" t="n">
        <f aca="false">IFERROR((E168-E167)/E167,0)</f>
        <v>-0.765714285714286</v>
      </c>
      <c r="F169" s="14" t="n">
        <f aca="false">IFERROR((F168-F167)/F167,0)</f>
        <v>-0.433333333333333</v>
      </c>
      <c r="G169" s="14" t="n">
        <f aca="false">IFERROR((G168-G167)/G167,0)</f>
        <v>-0.158333333333333</v>
      </c>
      <c r="H169" s="14" t="n">
        <f aca="false">IFERROR((H168-H167)/H167,0)</f>
        <v>-0.341666666666667</v>
      </c>
      <c r="I169" s="14" t="n">
        <f aca="false">IFERROR((I168-I167)/I167,0)</f>
        <v>-0.19047619047619</v>
      </c>
      <c r="J169" s="14" t="n">
        <f aca="false">IFERROR((J168-J167)/J167,0)</f>
        <v>1.24</v>
      </c>
      <c r="K169" s="15" t="n">
        <f aca="false">IFERROR((SUM(D168:J168)-SUM(D167:J167))/SUM(D167:J167),0)</f>
        <v>-0.37906976744186</v>
      </c>
    </row>
    <row r="170" customFormat="false" ht="15" hidden="false" customHeight="true" outlineLevel="0" collapsed="false">
      <c r="A170" s="42" t="s">
        <v>733</v>
      </c>
      <c r="B170" s="43" t="s">
        <v>734</v>
      </c>
      <c r="C170" s="5" t="s">
        <v>26</v>
      </c>
      <c r="D170" s="6" t="n">
        <v>11</v>
      </c>
      <c r="E170" s="6" t="n">
        <v>21</v>
      </c>
      <c r="F170" s="6" t="n">
        <v>13</v>
      </c>
      <c r="G170" s="6" t="n">
        <v>23</v>
      </c>
      <c r="H170" s="6" t="n">
        <v>26</v>
      </c>
      <c r="I170" s="6" t="n">
        <v>19</v>
      </c>
      <c r="J170" s="6" t="n">
        <v>15</v>
      </c>
      <c r="K170" s="7" t="n">
        <f aca="false">SUM(D170:J170)</f>
        <v>128</v>
      </c>
    </row>
    <row r="171" customFormat="false" ht="15" hidden="false" customHeight="false" outlineLevel="0" collapsed="false">
      <c r="A171" s="42"/>
      <c r="B171" s="42"/>
      <c r="C171" s="44" t="s">
        <v>14</v>
      </c>
      <c r="D171" s="9" t="n">
        <v>14.8</v>
      </c>
      <c r="E171" s="9" t="n">
        <v>18.6</v>
      </c>
      <c r="F171" s="9" t="n">
        <v>17.6</v>
      </c>
      <c r="G171" s="9" t="n">
        <v>20.3</v>
      </c>
      <c r="H171" s="9" t="n">
        <v>25.8</v>
      </c>
      <c r="I171" s="9" t="n">
        <v>25.2</v>
      </c>
      <c r="J171" s="9" t="n">
        <v>33</v>
      </c>
      <c r="K171" s="10" t="n">
        <f aca="false">SUM(D171:J171)</f>
        <v>155.3</v>
      </c>
    </row>
    <row r="172" customFormat="false" ht="15" hidden="false" customHeight="false" outlineLevel="0" collapsed="false">
      <c r="A172" s="42"/>
      <c r="B172" s="42"/>
      <c r="C172" s="11" t="s">
        <v>41</v>
      </c>
      <c r="D172" s="14" t="n">
        <f aca="false">IFERROR((D171-D170)/D170,0)</f>
        <v>0.345454545454546</v>
      </c>
      <c r="E172" s="14" t="n">
        <f aca="false">IFERROR((E171-E170)/E170,0)</f>
        <v>-0.114285714285714</v>
      </c>
      <c r="F172" s="14" t="n">
        <f aca="false">IFERROR((F171-F170)/F170,0)</f>
        <v>0.353846153846154</v>
      </c>
      <c r="G172" s="14" t="n">
        <f aca="false">IFERROR((G171-G170)/G170,0)</f>
        <v>-0.117391304347826</v>
      </c>
      <c r="H172" s="14" t="n">
        <f aca="false">IFERROR((H171-H170)/H170,0)</f>
        <v>-0.00769230769230767</v>
      </c>
      <c r="I172" s="14" t="n">
        <f aca="false">IFERROR((I171-I170)/I170,0)</f>
        <v>0.326315789473684</v>
      </c>
      <c r="J172" s="14" t="n">
        <f aca="false">IFERROR((J171-J170)/J170,0)</f>
        <v>1.2</v>
      </c>
      <c r="K172" s="15" t="n">
        <f aca="false">IFERROR((SUM(D171:J171)-SUM(D170:J170))/SUM(D170:J170),0)</f>
        <v>0.21328125</v>
      </c>
    </row>
    <row r="173" customFormat="false" ht="15" hidden="false" customHeight="true" outlineLevel="0" collapsed="false">
      <c r="A173" s="42" t="s">
        <v>735</v>
      </c>
      <c r="B173" s="43" t="s">
        <v>736</v>
      </c>
      <c r="C173" s="5" t="s">
        <v>26</v>
      </c>
      <c r="D173" s="6" t="n">
        <v>23</v>
      </c>
      <c r="E173" s="6" t="n">
        <v>11</v>
      </c>
      <c r="F173" s="6" t="n">
        <v>19</v>
      </c>
      <c r="G173" s="6" t="n">
        <v>14</v>
      </c>
      <c r="H173" s="6" t="n">
        <v>13</v>
      </c>
      <c r="I173" s="6" t="n">
        <v>21</v>
      </c>
      <c r="J173" s="6" t="n">
        <v>10</v>
      </c>
      <c r="K173" s="7" t="n">
        <f aca="false">SUM(D173:J173)</f>
        <v>111</v>
      </c>
    </row>
    <row r="174" customFormat="false" ht="15" hidden="false" customHeight="false" outlineLevel="0" collapsed="false">
      <c r="A174" s="42"/>
      <c r="B174" s="42"/>
      <c r="C174" s="44" t="s">
        <v>14</v>
      </c>
      <c r="D174" s="9" t="n">
        <v>22.5</v>
      </c>
      <c r="E174" s="9" t="n">
        <v>13.4</v>
      </c>
      <c r="F174" s="9" t="n">
        <v>14.5</v>
      </c>
      <c r="G174" s="9" t="n">
        <v>12.6</v>
      </c>
      <c r="H174" s="9" t="n">
        <v>14.5</v>
      </c>
      <c r="I174" s="9" t="n">
        <v>18.9</v>
      </c>
      <c r="J174" s="9" t="n">
        <v>16.6</v>
      </c>
      <c r="K174" s="10" t="n">
        <f aca="false">SUM(D174:J174)</f>
        <v>113</v>
      </c>
    </row>
    <row r="175" customFormat="false" ht="15" hidden="false" customHeight="false" outlineLevel="0" collapsed="false">
      <c r="A175" s="42"/>
      <c r="B175" s="42"/>
      <c r="C175" s="11" t="s">
        <v>41</v>
      </c>
      <c r="D175" s="14" t="n">
        <f aca="false">IFERROR((D174-D173)/D173,0)</f>
        <v>-0.0217391304347826</v>
      </c>
      <c r="E175" s="14" t="n">
        <f aca="false">IFERROR((E174-E173)/E173,0)</f>
        <v>0.218181818181818</v>
      </c>
      <c r="F175" s="14" t="n">
        <f aca="false">IFERROR((F174-F173)/F173,0)</f>
        <v>-0.236842105263158</v>
      </c>
      <c r="G175" s="14" t="n">
        <f aca="false">IFERROR((G174-G173)/G173,0)</f>
        <v>-0.1</v>
      </c>
      <c r="H175" s="14" t="n">
        <f aca="false">IFERROR((H174-H173)/H173,0)</f>
        <v>0.115384615384615</v>
      </c>
      <c r="I175" s="14" t="n">
        <f aca="false">IFERROR((I174-I173)/I173,0)</f>
        <v>-0.1</v>
      </c>
      <c r="J175" s="14" t="n">
        <f aca="false">IFERROR((J174-J173)/J173,0)</f>
        <v>0.66</v>
      </c>
      <c r="K175" s="15" t="n">
        <f aca="false">IFERROR((SUM(D174:J174)-SUM(D173:J173))/SUM(D173:J173),0)</f>
        <v>0.018018018018018</v>
      </c>
    </row>
    <row r="176" customFormat="false" ht="15" hidden="false" customHeight="true" outlineLevel="0" collapsed="false">
      <c r="A176" s="42" t="s">
        <v>737</v>
      </c>
      <c r="B176" s="43" t="s">
        <v>738</v>
      </c>
      <c r="C176" s="5" t="s">
        <v>26</v>
      </c>
      <c r="D176" s="6" t="n">
        <v>21</v>
      </c>
      <c r="E176" s="6" t="n">
        <v>11</v>
      </c>
      <c r="F176" s="6" t="n">
        <v>19</v>
      </c>
      <c r="G176" s="6" t="n">
        <v>22</v>
      </c>
      <c r="H176" s="6" t="n">
        <v>13</v>
      </c>
      <c r="I176" s="6" t="n">
        <v>20</v>
      </c>
      <c r="J176" s="6" t="n">
        <v>3</v>
      </c>
      <c r="K176" s="7" t="n">
        <f aca="false">SUM(D176:J176)</f>
        <v>109</v>
      </c>
    </row>
    <row r="177" customFormat="false" ht="15" hidden="false" customHeight="false" outlineLevel="0" collapsed="false">
      <c r="A177" s="42"/>
      <c r="B177" s="42"/>
      <c r="C177" s="44" t="s">
        <v>14</v>
      </c>
      <c r="D177" s="9" t="n">
        <v>15.9</v>
      </c>
      <c r="E177" s="9" t="n">
        <v>17.9</v>
      </c>
      <c r="F177" s="9" t="n">
        <v>15.3</v>
      </c>
      <c r="G177" s="9" t="n">
        <v>21.2</v>
      </c>
      <c r="H177" s="9" t="n">
        <v>22.1</v>
      </c>
      <c r="I177" s="9" t="n">
        <v>30</v>
      </c>
      <c r="J177" s="9" t="n">
        <v>20.3</v>
      </c>
      <c r="K177" s="10" t="n">
        <f aca="false">SUM(D177:J177)</f>
        <v>142.7</v>
      </c>
    </row>
    <row r="178" customFormat="false" ht="15" hidden="false" customHeight="false" outlineLevel="0" collapsed="false">
      <c r="A178" s="42"/>
      <c r="B178" s="42"/>
      <c r="C178" s="11" t="s">
        <v>41</v>
      </c>
      <c r="D178" s="14" t="n">
        <f aca="false">IFERROR((D177-D176)/D176,0)</f>
        <v>-0.242857142857143</v>
      </c>
      <c r="E178" s="14" t="n">
        <f aca="false">IFERROR((E177-E176)/E176,0)</f>
        <v>0.627272727272727</v>
      </c>
      <c r="F178" s="14" t="n">
        <f aca="false">IFERROR((F177-F176)/F176,0)</f>
        <v>-0.194736842105263</v>
      </c>
      <c r="G178" s="14" t="n">
        <f aca="false">IFERROR((G177-G176)/G176,0)</f>
        <v>-0.0363636363636364</v>
      </c>
      <c r="H178" s="14" t="n">
        <f aca="false">IFERROR((H177-H176)/H176,0)</f>
        <v>0.7</v>
      </c>
      <c r="I178" s="14" t="n">
        <f aca="false">IFERROR((I177-I176)/I176,0)</f>
        <v>0.5</v>
      </c>
      <c r="J178" s="14" t="n">
        <f aca="false">IFERROR((J177-J176)/J176,0)</f>
        <v>5.76666666666667</v>
      </c>
      <c r="K178" s="15" t="n">
        <f aca="false">IFERROR((SUM(D177:J177)-SUM(D176:J176))/SUM(D176:J176),0)</f>
        <v>0.309174311926606</v>
      </c>
    </row>
    <row r="179" customFormat="false" ht="15" hidden="false" customHeight="true" outlineLevel="0" collapsed="false">
      <c r="A179" s="42" t="s">
        <v>739</v>
      </c>
      <c r="B179" s="43" t="s">
        <v>740</v>
      </c>
      <c r="C179" s="5" t="s">
        <v>26</v>
      </c>
      <c r="D179" s="6" t="n">
        <v>17</v>
      </c>
      <c r="E179" s="6" t="n">
        <v>14</v>
      </c>
      <c r="F179" s="6" t="n">
        <v>31</v>
      </c>
      <c r="G179" s="6" t="n">
        <v>17</v>
      </c>
      <c r="H179" s="6" t="n">
        <v>8</v>
      </c>
      <c r="I179" s="6" t="n">
        <v>13</v>
      </c>
      <c r="J179" s="6" t="n">
        <v>5</v>
      </c>
      <c r="K179" s="7" t="n">
        <f aca="false">SUM(D179:J179)</f>
        <v>105</v>
      </c>
    </row>
    <row r="180" customFormat="false" ht="15" hidden="false" customHeight="false" outlineLevel="0" collapsed="false">
      <c r="A180" s="42"/>
      <c r="B180" s="42"/>
      <c r="C180" s="44" t="s">
        <v>14</v>
      </c>
      <c r="D180" s="9" t="n">
        <v>13.1</v>
      </c>
      <c r="E180" s="9" t="n">
        <v>15</v>
      </c>
      <c r="F180" s="9" t="n">
        <v>18.9</v>
      </c>
      <c r="G180" s="9" t="n">
        <v>13.8</v>
      </c>
      <c r="H180" s="9" t="n">
        <v>15.4</v>
      </c>
      <c r="I180" s="9" t="n">
        <v>18</v>
      </c>
      <c r="J180" s="9" t="n">
        <v>15.8</v>
      </c>
      <c r="K180" s="10" t="n">
        <f aca="false">SUM(D180:J180)</f>
        <v>110</v>
      </c>
    </row>
    <row r="181" customFormat="false" ht="15" hidden="false" customHeight="false" outlineLevel="0" collapsed="false">
      <c r="A181" s="42"/>
      <c r="B181" s="42"/>
      <c r="C181" s="11" t="s">
        <v>41</v>
      </c>
      <c r="D181" s="14" t="n">
        <f aca="false">IFERROR((D180-D179)/D179,0)</f>
        <v>-0.229411764705882</v>
      </c>
      <c r="E181" s="14" t="n">
        <f aca="false">IFERROR((E180-E179)/E179,0)</f>
        <v>0.0714285714285714</v>
      </c>
      <c r="F181" s="14" t="n">
        <f aca="false">IFERROR((F180-F179)/F179,0)</f>
        <v>-0.390322580645161</v>
      </c>
      <c r="G181" s="14" t="n">
        <f aca="false">IFERROR((G180-G179)/G179,0)</f>
        <v>-0.188235294117647</v>
      </c>
      <c r="H181" s="14" t="n">
        <f aca="false">IFERROR((H180-H179)/H179,0)</f>
        <v>0.925</v>
      </c>
      <c r="I181" s="14" t="n">
        <f aca="false">IFERROR((I180-I179)/I179,0)</f>
        <v>0.384615384615385</v>
      </c>
      <c r="J181" s="14" t="n">
        <f aca="false">IFERROR((J180-J179)/J179,0)</f>
        <v>2.16</v>
      </c>
      <c r="K181" s="15" t="n">
        <f aca="false">IFERROR((SUM(D180:J180)-SUM(D179:J179))/SUM(D179:J179),0)</f>
        <v>0.0476190476190476</v>
      </c>
    </row>
    <row r="182" customFormat="false" ht="15" hidden="false" customHeight="true" outlineLevel="0" collapsed="false">
      <c r="A182" s="42" t="s">
        <v>741</v>
      </c>
      <c r="B182" s="43" t="s">
        <v>742</v>
      </c>
      <c r="C182" s="5" t="s">
        <v>26</v>
      </c>
      <c r="D182" s="6" t="n">
        <v>10</v>
      </c>
      <c r="E182" s="6" t="n">
        <v>12</v>
      </c>
      <c r="F182" s="6" t="n">
        <v>13</v>
      </c>
      <c r="G182" s="6" t="n">
        <v>11</v>
      </c>
      <c r="H182" s="6" t="n">
        <v>9</v>
      </c>
      <c r="I182" s="6" t="n">
        <v>34</v>
      </c>
      <c r="J182" s="6" t="n">
        <v>14</v>
      </c>
      <c r="K182" s="7" t="n">
        <f aca="false">SUM(D182:J182)</f>
        <v>103</v>
      </c>
    </row>
    <row r="183" customFormat="false" ht="15" hidden="false" customHeight="false" outlineLevel="0" collapsed="false">
      <c r="A183" s="42"/>
      <c r="B183" s="42"/>
      <c r="C183" s="44" t="s">
        <v>14</v>
      </c>
      <c r="D183" s="9" t="n">
        <v>12</v>
      </c>
      <c r="E183" s="9" t="n">
        <v>13.9</v>
      </c>
      <c r="F183" s="9" t="n">
        <v>10.6</v>
      </c>
      <c r="G183" s="9" t="n">
        <v>12.4</v>
      </c>
      <c r="H183" s="9" t="n">
        <v>11.9</v>
      </c>
      <c r="I183" s="9" t="n">
        <v>21.4</v>
      </c>
      <c r="J183" s="9" t="n">
        <v>15.2</v>
      </c>
      <c r="K183" s="10" t="n">
        <f aca="false">SUM(D183:J183)</f>
        <v>97.4</v>
      </c>
    </row>
    <row r="184" customFormat="false" ht="15" hidden="false" customHeight="false" outlineLevel="0" collapsed="false">
      <c r="A184" s="42"/>
      <c r="B184" s="42"/>
      <c r="C184" s="11" t="s">
        <v>41</v>
      </c>
      <c r="D184" s="14" t="n">
        <f aca="false">IFERROR((D183-D182)/D182,0)</f>
        <v>0.2</v>
      </c>
      <c r="E184" s="14" t="n">
        <f aca="false">IFERROR((E183-E182)/E182,0)</f>
        <v>0.158333333333333</v>
      </c>
      <c r="F184" s="14" t="n">
        <f aca="false">IFERROR((F183-F182)/F182,0)</f>
        <v>-0.184615384615385</v>
      </c>
      <c r="G184" s="14" t="n">
        <f aca="false">IFERROR((G183-G182)/G182,0)</f>
        <v>0.127272727272727</v>
      </c>
      <c r="H184" s="14" t="n">
        <f aca="false">IFERROR((H183-H182)/H182,0)</f>
        <v>0.322222222222222</v>
      </c>
      <c r="I184" s="14" t="n">
        <f aca="false">IFERROR((I183-I182)/I182,0)</f>
        <v>-0.370588235294118</v>
      </c>
      <c r="J184" s="14" t="n">
        <f aca="false">IFERROR((J183-J182)/J182,0)</f>
        <v>0.0857142857142857</v>
      </c>
      <c r="K184" s="15" t="n">
        <f aca="false">IFERROR((SUM(D183:J183)-SUM(D182:J182))/SUM(D182:J182),0)</f>
        <v>-0.0543689320388349</v>
      </c>
    </row>
    <row r="185" customFormat="false" ht="15" hidden="false" customHeight="true" outlineLevel="0" collapsed="false">
      <c r="A185" s="42" t="s">
        <v>743</v>
      </c>
      <c r="B185" s="43" t="s">
        <v>744</v>
      </c>
      <c r="C185" s="5" t="s">
        <v>26</v>
      </c>
      <c r="D185" s="6" t="n">
        <v>19</v>
      </c>
      <c r="E185" s="6" t="n">
        <v>14</v>
      </c>
      <c r="F185" s="6" t="n">
        <v>15</v>
      </c>
      <c r="G185" s="6" t="n">
        <v>23</v>
      </c>
      <c r="H185" s="6" t="n">
        <v>8</v>
      </c>
      <c r="I185" s="6" t="n">
        <v>12</v>
      </c>
      <c r="J185" s="6" t="n">
        <v>7</v>
      </c>
      <c r="K185" s="7" t="n">
        <f aca="false">SUM(D185:J185)</f>
        <v>98</v>
      </c>
    </row>
    <row r="186" customFormat="false" ht="15" hidden="false" customHeight="false" outlineLevel="0" collapsed="false">
      <c r="A186" s="42"/>
      <c r="B186" s="42"/>
      <c r="C186" s="44" t="s">
        <v>14</v>
      </c>
      <c r="D186" s="9" t="n">
        <v>24.9</v>
      </c>
      <c r="E186" s="9" t="n">
        <v>20.7</v>
      </c>
      <c r="F186" s="9" t="n">
        <v>17</v>
      </c>
      <c r="G186" s="9" t="n">
        <v>13.2</v>
      </c>
      <c r="H186" s="9" t="n">
        <v>14.3</v>
      </c>
      <c r="I186" s="9" t="n">
        <v>17.5</v>
      </c>
      <c r="J186" s="9" t="n">
        <v>18.8</v>
      </c>
      <c r="K186" s="10" t="n">
        <f aca="false">SUM(D186:J186)</f>
        <v>126.4</v>
      </c>
    </row>
    <row r="187" customFormat="false" ht="15" hidden="false" customHeight="false" outlineLevel="0" collapsed="false">
      <c r="A187" s="42"/>
      <c r="B187" s="42"/>
      <c r="C187" s="11" t="s">
        <v>41</v>
      </c>
      <c r="D187" s="14" t="n">
        <f aca="false">IFERROR((D186-D185)/D185,0)</f>
        <v>0.310526315789474</v>
      </c>
      <c r="E187" s="14" t="n">
        <f aca="false">IFERROR((E186-E185)/E185,0)</f>
        <v>0.478571428571429</v>
      </c>
      <c r="F187" s="14" t="n">
        <f aca="false">IFERROR((F186-F185)/F185,0)</f>
        <v>0.133333333333333</v>
      </c>
      <c r="G187" s="14" t="n">
        <f aca="false">IFERROR((G186-G185)/G185,0)</f>
        <v>-0.426086956521739</v>
      </c>
      <c r="H187" s="14" t="n">
        <f aca="false">IFERROR((H186-H185)/H185,0)</f>
        <v>0.7875</v>
      </c>
      <c r="I187" s="14" t="n">
        <f aca="false">IFERROR((I186-I185)/I185,0)</f>
        <v>0.458333333333333</v>
      </c>
      <c r="J187" s="14" t="n">
        <f aca="false">IFERROR((J186-J185)/J185,0)</f>
        <v>1.68571428571429</v>
      </c>
      <c r="K187" s="15" t="n">
        <f aca="false">IFERROR((SUM(D186:J186)-SUM(D185:J185))/SUM(D185:J185),0)</f>
        <v>0.289795918367347</v>
      </c>
    </row>
    <row r="188" customFormat="false" ht="15" hidden="false" customHeight="true" outlineLevel="0" collapsed="false">
      <c r="A188" s="42" t="s">
        <v>745</v>
      </c>
      <c r="B188" s="43" t="s">
        <v>746</v>
      </c>
      <c r="C188" s="5" t="s">
        <v>26</v>
      </c>
      <c r="D188" s="6" t="n">
        <v>8</v>
      </c>
      <c r="E188" s="6" t="n">
        <v>14</v>
      </c>
      <c r="F188" s="6" t="n">
        <v>9</v>
      </c>
      <c r="G188" s="6" t="n">
        <v>7</v>
      </c>
      <c r="H188" s="6" t="n">
        <v>8</v>
      </c>
      <c r="I188" s="6" t="n">
        <v>25</v>
      </c>
      <c r="J188" s="6" t="n">
        <v>19</v>
      </c>
      <c r="K188" s="7" t="n">
        <f aca="false">SUM(D188:J188)</f>
        <v>90</v>
      </c>
    </row>
    <row r="189" customFormat="false" ht="15" hidden="false" customHeight="false" outlineLevel="0" collapsed="false">
      <c r="A189" s="42"/>
      <c r="B189" s="42"/>
      <c r="C189" s="44" t="s">
        <v>14</v>
      </c>
      <c r="D189" s="9" t="n">
        <v>8.3</v>
      </c>
      <c r="E189" s="9" t="n">
        <v>11.1</v>
      </c>
      <c r="F189" s="9" t="n">
        <v>11.2</v>
      </c>
      <c r="G189" s="9" t="n">
        <v>11.9</v>
      </c>
      <c r="H189" s="9" t="n">
        <v>14.1</v>
      </c>
      <c r="I189" s="9" t="n">
        <v>28.5</v>
      </c>
      <c r="J189" s="9" t="n">
        <v>23.1</v>
      </c>
      <c r="K189" s="10" t="n">
        <f aca="false">SUM(D189:J189)</f>
        <v>108.2</v>
      </c>
    </row>
    <row r="190" customFormat="false" ht="15" hidden="false" customHeight="false" outlineLevel="0" collapsed="false">
      <c r="A190" s="42"/>
      <c r="B190" s="42"/>
      <c r="C190" s="11" t="s">
        <v>41</v>
      </c>
      <c r="D190" s="14" t="n">
        <f aca="false">IFERROR((D189-D188)/D188,0)</f>
        <v>0.0375000000000001</v>
      </c>
      <c r="E190" s="14" t="n">
        <f aca="false">IFERROR((E189-E188)/E188,0)</f>
        <v>-0.207142857142857</v>
      </c>
      <c r="F190" s="14" t="n">
        <f aca="false">IFERROR((F189-F188)/F188,0)</f>
        <v>0.244444444444444</v>
      </c>
      <c r="G190" s="14" t="n">
        <f aca="false">IFERROR((G189-G188)/G188,0)</f>
        <v>0.7</v>
      </c>
      <c r="H190" s="14" t="n">
        <f aca="false">IFERROR((H189-H188)/H188,0)</f>
        <v>0.7625</v>
      </c>
      <c r="I190" s="14" t="n">
        <f aca="false">IFERROR((I189-I188)/I188,0)</f>
        <v>0.14</v>
      </c>
      <c r="J190" s="14" t="n">
        <f aca="false">IFERROR((J189-J188)/J188,0)</f>
        <v>0.215789473684211</v>
      </c>
      <c r="K190" s="15" t="n">
        <f aca="false">IFERROR((SUM(D189:J189)-SUM(D188:J188))/SUM(D188:J188),0)</f>
        <v>0.202222222222222</v>
      </c>
    </row>
    <row r="191" customFormat="false" ht="15" hidden="false" customHeight="true" outlineLevel="0" collapsed="false">
      <c r="A191" s="42" t="s">
        <v>747</v>
      </c>
      <c r="B191" s="43" t="s">
        <v>748</v>
      </c>
      <c r="C191" s="5" t="s">
        <v>26</v>
      </c>
      <c r="D191" s="6" t="n">
        <v>12</v>
      </c>
      <c r="E191" s="6" t="n">
        <v>12</v>
      </c>
      <c r="F191" s="6" t="n">
        <v>13</v>
      </c>
      <c r="G191" s="6" t="n">
        <v>10</v>
      </c>
      <c r="H191" s="6" t="n">
        <v>11</v>
      </c>
      <c r="I191" s="6" t="n">
        <v>18</v>
      </c>
      <c r="J191" s="6" t="n">
        <v>7</v>
      </c>
      <c r="K191" s="7" t="n">
        <f aca="false">SUM(D191:J191)</f>
        <v>83</v>
      </c>
    </row>
    <row r="192" customFormat="false" ht="15" hidden="false" customHeight="false" outlineLevel="0" collapsed="false">
      <c r="A192" s="42"/>
      <c r="B192" s="42"/>
      <c r="C192" s="44" t="s">
        <v>14</v>
      </c>
      <c r="D192" s="9" t="n">
        <v>8</v>
      </c>
      <c r="E192" s="9" t="n">
        <v>12.5</v>
      </c>
      <c r="F192" s="9" t="n">
        <v>15.4</v>
      </c>
      <c r="G192" s="9" t="n">
        <v>9</v>
      </c>
      <c r="H192" s="9" t="n">
        <v>9.7</v>
      </c>
      <c r="I192" s="9" t="n">
        <v>15.2</v>
      </c>
      <c r="J192" s="9" t="n">
        <v>13</v>
      </c>
      <c r="K192" s="10" t="n">
        <f aca="false">SUM(D192:J192)</f>
        <v>82.8</v>
      </c>
    </row>
    <row r="193" customFormat="false" ht="15" hidden="false" customHeight="false" outlineLevel="0" collapsed="false">
      <c r="A193" s="42"/>
      <c r="B193" s="42"/>
      <c r="C193" s="11" t="s">
        <v>41</v>
      </c>
      <c r="D193" s="14" t="n">
        <f aca="false">IFERROR((D192-D191)/D191,0)</f>
        <v>-0.333333333333333</v>
      </c>
      <c r="E193" s="14" t="n">
        <f aca="false">IFERROR((E192-E191)/E191,0)</f>
        <v>0.0416666666666667</v>
      </c>
      <c r="F193" s="14" t="n">
        <f aca="false">IFERROR((F192-F191)/F191,0)</f>
        <v>0.184615384615385</v>
      </c>
      <c r="G193" s="14" t="n">
        <f aca="false">IFERROR((G192-G191)/G191,0)</f>
        <v>-0.1</v>
      </c>
      <c r="H193" s="14" t="n">
        <f aca="false">IFERROR((H192-H191)/H191,0)</f>
        <v>-0.118181818181818</v>
      </c>
      <c r="I193" s="14" t="n">
        <f aca="false">IFERROR((I192-I191)/I191,0)</f>
        <v>-0.155555555555556</v>
      </c>
      <c r="J193" s="14" t="n">
        <f aca="false">IFERROR((J192-J191)/J191,0)</f>
        <v>0.857142857142857</v>
      </c>
      <c r="K193" s="15" t="n">
        <f aca="false">IFERROR((SUM(D192:J192)-SUM(D191:J191))/SUM(D191:J191),0)</f>
        <v>-0.0024096385542169</v>
      </c>
    </row>
    <row r="194" customFormat="false" ht="15" hidden="false" customHeight="true" outlineLevel="0" collapsed="false">
      <c r="A194" s="42" t="s">
        <v>749</v>
      </c>
      <c r="B194" s="43" t="s">
        <v>750</v>
      </c>
      <c r="C194" s="5" t="s">
        <v>26</v>
      </c>
      <c r="D194" s="6" t="n">
        <v>6</v>
      </c>
      <c r="E194" s="6" t="n">
        <v>5</v>
      </c>
      <c r="F194" s="6" t="n">
        <v>3</v>
      </c>
      <c r="G194" s="6" t="n">
        <v>5</v>
      </c>
      <c r="H194" s="6" t="n">
        <v>12</v>
      </c>
      <c r="I194" s="6" t="n">
        <v>23</v>
      </c>
      <c r="J194" s="6" t="n">
        <v>3</v>
      </c>
      <c r="K194" s="7" t="n">
        <f aca="false">SUM(D194:J194)</f>
        <v>57</v>
      </c>
    </row>
    <row r="195" customFormat="false" ht="15" hidden="false" customHeight="false" outlineLevel="0" collapsed="false">
      <c r="A195" s="42"/>
      <c r="B195" s="42"/>
      <c r="C195" s="44" t="s">
        <v>14</v>
      </c>
      <c r="D195" s="9" t="n">
        <v>5.3</v>
      </c>
      <c r="E195" s="9" t="n">
        <v>4.8</v>
      </c>
      <c r="F195" s="9" t="n">
        <v>4.2</v>
      </c>
      <c r="G195" s="9" t="n">
        <v>6.7</v>
      </c>
      <c r="H195" s="9" t="n">
        <v>13.6</v>
      </c>
      <c r="I195" s="9" t="n">
        <v>23</v>
      </c>
      <c r="J195" s="9" t="n">
        <v>15.1</v>
      </c>
      <c r="K195" s="10" t="n">
        <f aca="false">SUM(D195:J195)</f>
        <v>72.7</v>
      </c>
    </row>
    <row r="196" customFormat="false" ht="15" hidden="false" customHeight="false" outlineLevel="0" collapsed="false">
      <c r="A196" s="42"/>
      <c r="B196" s="42"/>
      <c r="C196" s="11" t="s">
        <v>41</v>
      </c>
      <c r="D196" s="14" t="n">
        <f aca="false">IFERROR((D195-D194)/D194,0)</f>
        <v>-0.116666666666667</v>
      </c>
      <c r="E196" s="14" t="n">
        <f aca="false">IFERROR((E195-E194)/E194,0)</f>
        <v>-0.04</v>
      </c>
      <c r="F196" s="14" t="n">
        <f aca="false">IFERROR((F195-F194)/F194,0)</f>
        <v>0.4</v>
      </c>
      <c r="G196" s="14" t="n">
        <f aca="false">IFERROR((G195-G194)/G194,0)</f>
        <v>0.34</v>
      </c>
      <c r="H196" s="14" t="n">
        <f aca="false">IFERROR((H195-H194)/H194,0)</f>
        <v>0.133333333333333</v>
      </c>
      <c r="I196" s="14" t="n">
        <f aca="false">IFERROR((I195-I194)/I194,0)</f>
        <v>0</v>
      </c>
      <c r="J196" s="14" t="n">
        <f aca="false">IFERROR((J195-J194)/J194,0)</f>
        <v>4.03333333333333</v>
      </c>
      <c r="K196" s="15" t="n">
        <f aca="false">IFERROR((SUM(D195:J195)-SUM(D194:J194))/SUM(D194:J194),0)</f>
        <v>0.275438596491228</v>
      </c>
    </row>
    <row r="197" customFormat="false" ht="15" hidden="false" customHeight="true" outlineLevel="0" collapsed="false">
      <c r="A197" s="42" t="s">
        <v>751</v>
      </c>
      <c r="B197" s="43" t="s">
        <v>752</v>
      </c>
      <c r="C197" s="5" t="s">
        <v>26</v>
      </c>
      <c r="D197" s="6" t="n">
        <v>8</v>
      </c>
      <c r="E197" s="6" t="n">
        <v>11</v>
      </c>
      <c r="F197" s="6" t="n">
        <v>11</v>
      </c>
      <c r="G197" s="6" t="n">
        <v>6</v>
      </c>
      <c r="H197" s="6" t="n">
        <v>9</v>
      </c>
      <c r="I197" s="6" t="n">
        <v>8</v>
      </c>
      <c r="J197" s="6" t="n">
        <v>4</v>
      </c>
      <c r="K197" s="7" t="n">
        <f aca="false">SUM(D197:J197)</f>
        <v>57</v>
      </c>
    </row>
    <row r="198" customFormat="false" ht="15" hidden="false" customHeight="false" outlineLevel="0" collapsed="false">
      <c r="A198" s="42"/>
      <c r="B198" s="42"/>
      <c r="C198" s="44" t="s">
        <v>14</v>
      </c>
      <c r="D198" s="9" t="n">
        <v>8.4</v>
      </c>
      <c r="E198" s="9" t="n">
        <v>9</v>
      </c>
      <c r="F198" s="9" t="n">
        <v>14.4</v>
      </c>
      <c r="G198" s="9" t="n">
        <v>6.8</v>
      </c>
      <c r="H198" s="9" t="n">
        <v>5.5</v>
      </c>
      <c r="I198" s="9" t="n">
        <v>11.7</v>
      </c>
      <c r="J198" s="9" t="n">
        <v>12.9</v>
      </c>
      <c r="K198" s="10" t="n">
        <f aca="false">SUM(D198:J198)</f>
        <v>68.7</v>
      </c>
    </row>
    <row r="199" customFormat="false" ht="15" hidden="false" customHeight="false" outlineLevel="0" collapsed="false">
      <c r="A199" s="42"/>
      <c r="B199" s="42"/>
      <c r="C199" s="11" t="s">
        <v>41</v>
      </c>
      <c r="D199" s="14" t="n">
        <f aca="false">IFERROR((D198-D197)/D197,0)</f>
        <v>0.05</v>
      </c>
      <c r="E199" s="14" t="n">
        <f aca="false">IFERROR((E198-E197)/E197,0)</f>
        <v>-0.181818181818182</v>
      </c>
      <c r="F199" s="14" t="n">
        <f aca="false">IFERROR((F198-F197)/F197,0)</f>
        <v>0.309090909090909</v>
      </c>
      <c r="G199" s="14" t="n">
        <f aca="false">IFERROR((G198-G197)/G197,0)</f>
        <v>0.133333333333333</v>
      </c>
      <c r="H199" s="14" t="n">
        <f aca="false">IFERROR((H198-H197)/H197,0)</f>
        <v>-0.388888888888889</v>
      </c>
      <c r="I199" s="14" t="n">
        <f aca="false">IFERROR((I198-I197)/I197,0)</f>
        <v>0.4625</v>
      </c>
      <c r="J199" s="14" t="n">
        <f aca="false">IFERROR((J198-J197)/J197,0)</f>
        <v>2.225</v>
      </c>
      <c r="K199" s="15" t="n">
        <f aca="false">IFERROR((SUM(D198:J198)-SUM(D197:J197))/SUM(D197:J197),0)</f>
        <v>0.205263157894737</v>
      </c>
    </row>
    <row r="200" customFormat="false" ht="15" hidden="false" customHeight="true" outlineLevel="0" collapsed="false">
      <c r="A200" s="42" t="s">
        <v>753</v>
      </c>
      <c r="B200" s="43" t="s">
        <v>754</v>
      </c>
      <c r="C200" s="5" t="s">
        <v>26</v>
      </c>
      <c r="D200" s="6" t="n">
        <v>9</v>
      </c>
      <c r="E200" s="6" t="n">
        <v>8</v>
      </c>
      <c r="F200" s="6" t="n">
        <v>20</v>
      </c>
      <c r="G200" s="6" t="n">
        <v>9</v>
      </c>
      <c r="H200" s="6" t="n">
        <v>5</v>
      </c>
      <c r="I200" s="6" t="n">
        <v>3</v>
      </c>
      <c r="J200" s="6" t="n">
        <v>0</v>
      </c>
      <c r="K200" s="7" t="n">
        <f aca="false">SUM(D200:J200)</f>
        <v>54</v>
      </c>
    </row>
    <row r="201" customFormat="false" ht="15" hidden="false" customHeight="false" outlineLevel="0" collapsed="false">
      <c r="A201" s="42"/>
      <c r="B201" s="42"/>
      <c r="C201" s="44" t="s">
        <v>14</v>
      </c>
      <c r="D201" s="9" t="n">
        <v>5.1</v>
      </c>
      <c r="E201" s="9" t="n">
        <v>8.3</v>
      </c>
      <c r="F201" s="9" t="n">
        <v>9.9</v>
      </c>
      <c r="G201" s="9" t="n">
        <v>9.2</v>
      </c>
      <c r="H201" s="9" t="n">
        <v>7.6</v>
      </c>
      <c r="I201" s="9" t="n">
        <v>4.8</v>
      </c>
      <c r="J201" s="9" t="n">
        <v>2.1</v>
      </c>
      <c r="K201" s="10" t="n">
        <f aca="false">SUM(D201:J201)</f>
        <v>47</v>
      </c>
    </row>
    <row r="202" customFormat="false" ht="15" hidden="false" customHeight="false" outlineLevel="0" collapsed="false">
      <c r="A202" s="42"/>
      <c r="B202" s="42"/>
      <c r="C202" s="11" t="s">
        <v>41</v>
      </c>
      <c r="D202" s="14" t="n">
        <f aca="false">IFERROR((D201-D200)/D200,0)</f>
        <v>-0.433333333333333</v>
      </c>
      <c r="E202" s="14" t="n">
        <f aca="false">IFERROR((E201-E200)/E200,0)</f>
        <v>0.0375000000000001</v>
      </c>
      <c r="F202" s="14" t="n">
        <f aca="false">IFERROR((F201-F200)/F200,0)</f>
        <v>-0.505</v>
      </c>
      <c r="G202" s="14" t="n">
        <f aca="false">IFERROR((G201-G200)/G200,0)</f>
        <v>0.0222222222222221</v>
      </c>
      <c r="H202" s="14" t="n">
        <f aca="false">IFERROR((H201-H200)/H200,0)</f>
        <v>0.52</v>
      </c>
      <c r="I202" s="14" t="n">
        <f aca="false">IFERROR((I201-I200)/I200,0)</f>
        <v>0.6</v>
      </c>
      <c r="J202" s="14" t="n">
        <f aca="false">IFERROR((J201-J200)/J200,0)</f>
        <v>0</v>
      </c>
      <c r="K202" s="15" t="n">
        <f aca="false">IFERROR((SUM(D201:J201)-SUM(D200:J200))/SUM(D200:J200),0)</f>
        <v>-0.12962962962963</v>
      </c>
    </row>
    <row r="203" customFormat="false" ht="15" hidden="false" customHeight="true" outlineLevel="0" collapsed="false">
      <c r="A203" s="42" t="s">
        <v>755</v>
      </c>
      <c r="B203" s="43" t="s">
        <v>756</v>
      </c>
      <c r="C203" s="5" t="s">
        <v>26</v>
      </c>
      <c r="D203" s="6" t="n">
        <v>19</v>
      </c>
      <c r="E203" s="6" t="n">
        <v>9</v>
      </c>
      <c r="F203" s="6" t="n">
        <v>5</v>
      </c>
      <c r="G203" s="6" t="n">
        <v>7</v>
      </c>
      <c r="H203" s="6" t="n">
        <v>8</v>
      </c>
      <c r="I203" s="6" t="n">
        <v>2</v>
      </c>
      <c r="J203" s="6" t="n">
        <v>4</v>
      </c>
      <c r="K203" s="7" t="n">
        <f aca="false">SUM(D203:J203)</f>
        <v>54</v>
      </c>
    </row>
    <row r="204" customFormat="false" ht="15" hidden="false" customHeight="false" outlineLevel="0" collapsed="false">
      <c r="A204" s="42"/>
      <c r="B204" s="42"/>
      <c r="C204" s="44" t="s">
        <v>14</v>
      </c>
      <c r="D204" s="9" t="n">
        <v>10.6</v>
      </c>
      <c r="E204" s="9" t="n">
        <v>12.4</v>
      </c>
      <c r="F204" s="9" t="n">
        <v>8.6</v>
      </c>
      <c r="G204" s="9" t="n">
        <v>7.7</v>
      </c>
      <c r="H204" s="9" t="n">
        <v>6.6</v>
      </c>
      <c r="I204" s="9" t="n">
        <v>9</v>
      </c>
      <c r="J204" s="9" t="n">
        <v>8.6</v>
      </c>
      <c r="K204" s="10" t="n">
        <f aca="false">SUM(D204:J204)</f>
        <v>63.5</v>
      </c>
    </row>
    <row r="205" customFormat="false" ht="15" hidden="false" customHeight="false" outlineLevel="0" collapsed="false">
      <c r="A205" s="42"/>
      <c r="B205" s="42"/>
      <c r="C205" s="11" t="s">
        <v>41</v>
      </c>
      <c r="D205" s="14" t="n">
        <f aca="false">IFERROR((D204-D203)/D203,0)</f>
        <v>-0.442105263157895</v>
      </c>
      <c r="E205" s="14" t="n">
        <f aca="false">IFERROR((E204-E203)/E203,0)</f>
        <v>0.377777777777778</v>
      </c>
      <c r="F205" s="14" t="n">
        <f aca="false">IFERROR((F204-F203)/F203,0)</f>
        <v>0.72</v>
      </c>
      <c r="G205" s="14" t="n">
        <f aca="false">IFERROR((G204-G203)/G203,0)</f>
        <v>0.1</v>
      </c>
      <c r="H205" s="14" t="n">
        <f aca="false">IFERROR((H204-H203)/H203,0)</f>
        <v>-0.175</v>
      </c>
      <c r="I205" s="14" t="n">
        <f aca="false">IFERROR((I204-I203)/I203,0)</f>
        <v>3.5</v>
      </c>
      <c r="J205" s="14" t="n">
        <f aca="false">IFERROR((J204-J203)/J203,0)</f>
        <v>1.15</v>
      </c>
      <c r="K205" s="15" t="n">
        <f aca="false">IFERROR((SUM(D204:J204)-SUM(D203:J203))/SUM(D203:J203),0)</f>
        <v>0.175925925925926</v>
      </c>
    </row>
    <row r="206" customFormat="false" ht="15" hidden="false" customHeight="true" outlineLevel="0" collapsed="false">
      <c r="A206" s="42" t="s">
        <v>757</v>
      </c>
      <c r="B206" s="43" t="s">
        <v>758</v>
      </c>
      <c r="C206" s="5" t="s">
        <v>26</v>
      </c>
      <c r="D206" s="6" t="n">
        <v>10</v>
      </c>
      <c r="E206" s="6" t="n">
        <v>3</v>
      </c>
      <c r="F206" s="6" t="n">
        <v>10</v>
      </c>
      <c r="G206" s="6" t="n">
        <v>7</v>
      </c>
      <c r="H206" s="6" t="n">
        <v>5</v>
      </c>
      <c r="I206" s="6" t="n">
        <v>13</v>
      </c>
      <c r="J206" s="6" t="n">
        <v>2</v>
      </c>
      <c r="K206" s="7" t="n">
        <f aca="false">SUM(D206:J206)</f>
        <v>50</v>
      </c>
    </row>
    <row r="207" customFormat="false" ht="15" hidden="false" customHeight="false" outlineLevel="0" collapsed="false">
      <c r="A207" s="42"/>
      <c r="B207" s="42"/>
      <c r="C207" s="44" t="s">
        <v>14</v>
      </c>
      <c r="D207" s="9" t="n">
        <v>6.3</v>
      </c>
      <c r="E207" s="9" t="n">
        <v>5.1</v>
      </c>
      <c r="F207" s="9" t="n">
        <v>6.5</v>
      </c>
      <c r="G207" s="9" t="n">
        <v>6.2</v>
      </c>
      <c r="H207" s="9" t="n">
        <v>4</v>
      </c>
      <c r="I207" s="9" t="n">
        <v>10.8</v>
      </c>
      <c r="J207" s="9" t="n">
        <v>5.4</v>
      </c>
      <c r="K207" s="10" t="n">
        <f aca="false">SUM(D207:J207)</f>
        <v>44.3</v>
      </c>
    </row>
    <row r="208" customFormat="false" ht="15" hidden="false" customHeight="false" outlineLevel="0" collapsed="false">
      <c r="A208" s="42"/>
      <c r="B208" s="42"/>
      <c r="C208" s="11" t="s">
        <v>41</v>
      </c>
      <c r="D208" s="14" t="n">
        <f aca="false">IFERROR((D207-D206)/D206,0)</f>
        <v>-0.37</v>
      </c>
      <c r="E208" s="14" t="n">
        <f aca="false">IFERROR((E207-E206)/E206,0)</f>
        <v>0.7</v>
      </c>
      <c r="F208" s="14" t="n">
        <f aca="false">IFERROR((F207-F206)/F206,0)</f>
        <v>-0.35</v>
      </c>
      <c r="G208" s="14" t="n">
        <f aca="false">IFERROR((G207-G206)/G206,0)</f>
        <v>-0.114285714285714</v>
      </c>
      <c r="H208" s="14" t="n">
        <f aca="false">IFERROR((H207-H206)/H206,0)</f>
        <v>-0.2</v>
      </c>
      <c r="I208" s="14" t="n">
        <f aca="false">IFERROR((I207-I206)/I206,0)</f>
        <v>-0.169230769230769</v>
      </c>
      <c r="J208" s="14" t="n">
        <f aca="false">IFERROR((J207-J206)/J206,0)</f>
        <v>1.7</v>
      </c>
      <c r="K208" s="15" t="n">
        <f aca="false">IFERROR((SUM(D207:J207)-SUM(D206:J206))/SUM(D206:J206),0)</f>
        <v>-0.114</v>
      </c>
    </row>
    <row r="209" customFormat="false" ht="15" hidden="false" customHeight="true" outlineLevel="0" collapsed="false">
      <c r="A209" s="42" t="s">
        <v>759</v>
      </c>
      <c r="B209" s="43" t="s">
        <v>760</v>
      </c>
      <c r="C209" s="5" t="s">
        <v>26</v>
      </c>
      <c r="D209" s="6" t="n">
        <v>8</v>
      </c>
      <c r="E209" s="6" t="n">
        <v>12</v>
      </c>
      <c r="F209" s="6" t="n">
        <v>8</v>
      </c>
      <c r="G209" s="6" t="n">
        <v>3</v>
      </c>
      <c r="H209" s="6" t="n">
        <v>9</v>
      </c>
      <c r="I209" s="6" t="n">
        <v>5</v>
      </c>
      <c r="J209" s="6" t="n">
        <v>5</v>
      </c>
      <c r="K209" s="7" t="n">
        <f aca="false">SUM(D209:J209)</f>
        <v>50</v>
      </c>
    </row>
    <row r="210" customFormat="false" ht="15" hidden="false" customHeight="false" outlineLevel="0" collapsed="false">
      <c r="A210" s="42"/>
      <c r="B210" s="42"/>
      <c r="C210" s="44" t="s">
        <v>14</v>
      </c>
      <c r="D210" s="9" t="n">
        <v>5.7</v>
      </c>
      <c r="E210" s="9" t="n">
        <v>10.8</v>
      </c>
      <c r="F210" s="9" t="n">
        <v>6.7</v>
      </c>
      <c r="G210" s="9" t="n">
        <v>6</v>
      </c>
      <c r="H210" s="9" t="n">
        <v>4.3</v>
      </c>
      <c r="I210" s="9" t="n">
        <v>8.6</v>
      </c>
      <c r="J210" s="9" t="n">
        <v>10.7</v>
      </c>
      <c r="K210" s="10" t="n">
        <f aca="false">SUM(D210:J210)</f>
        <v>52.8</v>
      </c>
    </row>
    <row r="211" customFormat="false" ht="15" hidden="false" customHeight="false" outlineLevel="0" collapsed="false">
      <c r="A211" s="42"/>
      <c r="B211" s="42"/>
      <c r="C211" s="11" t="s">
        <v>41</v>
      </c>
      <c r="D211" s="14" t="n">
        <f aca="false">IFERROR((D210-D209)/D209,0)</f>
        <v>-0.2875</v>
      </c>
      <c r="E211" s="14" t="n">
        <f aca="false">IFERROR((E210-E209)/E209,0)</f>
        <v>-0.0999999999999999</v>
      </c>
      <c r="F211" s="14" t="n">
        <f aca="false">IFERROR((F210-F209)/F209,0)</f>
        <v>-0.1625</v>
      </c>
      <c r="G211" s="14" t="n">
        <f aca="false">IFERROR((G210-G209)/G209,0)</f>
        <v>1</v>
      </c>
      <c r="H211" s="14" t="n">
        <f aca="false">IFERROR((H210-H209)/H209,0)</f>
        <v>-0.522222222222222</v>
      </c>
      <c r="I211" s="14" t="n">
        <f aca="false">IFERROR((I210-I209)/I209,0)</f>
        <v>0.72</v>
      </c>
      <c r="J211" s="14" t="n">
        <f aca="false">IFERROR((J210-J209)/J209,0)</f>
        <v>1.14</v>
      </c>
      <c r="K211" s="15" t="n">
        <f aca="false">IFERROR((SUM(D210:J210)-SUM(D209:J209))/SUM(D209:J209),0)</f>
        <v>0.0559999999999999</v>
      </c>
    </row>
    <row r="212" customFormat="false" ht="15" hidden="false" customHeight="true" outlineLevel="0" collapsed="false">
      <c r="A212" s="42" t="s">
        <v>761</v>
      </c>
      <c r="B212" s="43" t="s">
        <v>762</v>
      </c>
      <c r="C212" s="5" t="s">
        <v>26</v>
      </c>
      <c r="D212" s="6" t="n">
        <v>6</v>
      </c>
      <c r="E212" s="6" t="n">
        <v>4</v>
      </c>
      <c r="F212" s="6" t="n">
        <v>4</v>
      </c>
      <c r="G212" s="6" t="n">
        <v>4</v>
      </c>
      <c r="H212" s="6" t="n">
        <v>1</v>
      </c>
      <c r="I212" s="6" t="n">
        <v>7</v>
      </c>
      <c r="J212" s="6" t="n">
        <v>2</v>
      </c>
      <c r="K212" s="7" t="n">
        <f aca="false">SUM(D212:J212)</f>
        <v>28</v>
      </c>
    </row>
    <row r="213" customFormat="false" ht="15" hidden="false" customHeight="false" outlineLevel="0" collapsed="false">
      <c r="A213" s="42"/>
      <c r="B213" s="42"/>
      <c r="C213" s="44" t="s">
        <v>14</v>
      </c>
      <c r="D213" s="9" t="n">
        <v>3.6</v>
      </c>
      <c r="E213" s="9" t="n">
        <v>2.4</v>
      </c>
      <c r="F213" s="9" t="n">
        <v>7.2</v>
      </c>
      <c r="G213" s="9" t="n">
        <v>3.7</v>
      </c>
      <c r="H213" s="9" t="n">
        <v>3.5</v>
      </c>
      <c r="I213" s="9" t="n">
        <v>6.6</v>
      </c>
      <c r="J213" s="9" t="n">
        <v>5.6</v>
      </c>
      <c r="K213" s="10" t="n">
        <f aca="false">SUM(D213:J213)</f>
        <v>32.6</v>
      </c>
    </row>
    <row r="214" customFormat="false" ht="15" hidden="false" customHeight="false" outlineLevel="0" collapsed="false">
      <c r="A214" s="42"/>
      <c r="B214" s="42"/>
      <c r="C214" s="11" t="s">
        <v>41</v>
      </c>
      <c r="D214" s="14" t="n">
        <f aca="false">IFERROR((D213-D212)/D212,0)</f>
        <v>-0.4</v>
      </c>
      <c r="E214" s="14" t="n">
        <f aca="false">IFERROR((E213-E212)/E212,0)</f>
        <v>-0.4</v>
      </c>
      <c r="F214" s="14" t="n">
        <f aca="false">IFERROR((F213-F212)/F212,0)</f>
        <v>0.8</v>
      </c>
      <c r="G214" s="14" t="n">
        <f aca="false">IFERROR((G213-G212)/G212,0)</f>
        <v>-0.075</v>
      </c>
      <c r="H214" s="14" t="n">
        <f aca="false">IFERROR((H213-H212)/H212,0)</f>
        <v>2.5</v>
      </c>
      <c r="I214" s="14" t="n">
        <f aca="false">IFERROR((I213-I212)/I212,0)</f>
        <v>-0.0571428571428572</v>
      </c>
      <c r="J214" s="14" t="n">
        <f aca="false">IFERROR((J213-J212)/J212,0)</f>
        <v>1.8</v>
      </c>
      <c r="K214" s="15" t="n">
        <f aca="false">IFERROR((SUM(D213:J213)-SUM(D212:J212))/SUM(D212:J212),0)</f>
        <v>0.164285714285714</v>
      </c>
    </row>
    <row r="215" customFormat="false" ht="15" hidden="false" customHeight="true" outlineLevel="0" collapsed="false">
      <c r="A215" s="42" t="s">
        <v>763</v>
      </c>
      <c r="B215" s="43" t="s">
        <v>764</v>
      </c>
      <c r="C215" s="5" t="s">
        <v>26</v>
      </c>
      <c r="D215" s="6" t="n">
        <v>7</v>
      </c>
      <c r="E215" s="6" t="n">
        <v>7</v>
      </c>
      <c r="F215" s="6" t="n">
        <v>3</v>
      </c>
      <c r="G215" s="6" t="n">
        <v>3</v>
      </c>
      <c r="H215" s="6" t="n">
        <v>1</v>
      </c>
      <c r="I215" s="6" t="n">
        <v>2</v>
      </c>
      <c r="J215" s="6" t="n">
        <v>1</v>
      </c>
      <c r="K215" s="7" t="n">
        <f aca="false">SUM(D215:J215)</f>
        <v>24</v>
      </c>
    </row>
    <row r="216" customFormat="false" ht="15" hidden="false" customHeight="false" outlineLevel="0" collapsed="false">
      <c r="A216" s="42"/>
      <c r="B216" s="42"/>
      <c r="C216" s="44" t="s">
        <v>14</v>
      </c>
      <c r="D216" s="9" t="n">
        <v>4.2</v>
      </c>
      <c r="E216" s="9" t="n">
        <v>4.5</v>
      </c>
      <c r="F216" s="9" t="n">
        <v>5.6</v>
      </c>
      <c r="G216" s="9" t="n">
        <v>3.2</v>
      </c>
      <c r="H216" s="9" t="n">
        <v>1.7</v>
      </c>
      <c r="I216" s="9" t="n">
        <v>4</v>
      </c>
      <c r="J216" s="9" t="n">
        <v>4.6</v>
      </c>
      <c r="K216" s="10" t="n">
        <f aca="false">SUM(D216:J216)</f>
        <v>27.8</v>
      </c>
    </row>
    <row r="217" customFormat="false" ht="15" hidden="false" customHeight="false" outlineLevel="0" collapsed="false">
      <c r="A217" s="42"/>
      <c r="B217" s="42"/>
      <c r="C217" s="11" t="s">
        <v>41</v>
      </c>
      <c r="D217" s="14" t="n">
        <f aca="false">IFERROR((D216-D215)/D215,0)</f>
        <v>-0.4</v>
      </c>
      <c r="E217" s="14" t="n">
        <f aca="false">IFERROR((E216-E215)/E215,0)</f>
        <v>-0.357142857142857</v>
      </c>
      <c r="F217" s="14" t="n">
        <f aca="false">IFERROR((F216-F215)/F215,0)</f>
        <v>0.866666666666667</v>
      </c>
      <c r="G217" s="14" t="n">
        <f aca="false">IFERROR((G216-G215)/G215,0)</f>
        <v>0.0666666666666667</v>
      </c>
      <c r="H217" s="14" t="n">
        <f aca="false">IFERROR((H216-H215)/H215,0)</f>
        <v>0.7</v>
      </c>
      <c r="I217" s="14" t="n">
        <f aca="false">IFERROR((I216-I215)/I215,0)</f>
        <v>1</v>
      </c>
      <c r="J217" s="14" t="n">
        <f aca="false">IFERROR((J216-J215)/J215,0)</f>
        <v>3.6</v>
      </c>
      <c r="K217" s="15" t="n">
        <f aca="false">IFERROR((SUM(D216:J216)-SUM(D215:J215))/SUM(D215:J215),0)</f>
        <v>0.158333333333333</v>
      </c>
    </row>
    <row r="218" customFormat="false" ht="15" hidden="false" customHeight="true" outlineLevel="0" collapsed="false">
      <c r="A218" s="42" t="s">
        <v>765</v>
      </c>
      <c r="B218" s="43" t="s">
        <v>766</v>
      </c>
      <c r="C218" s="5" t="s">
        <v>26</v>
      </c>
      <c r="D218" s="6" t="n">
        <v>2</v>
      </c>
      <c r="E218" s="6" t="n">
        <v>2</v>
      </c>
      <c r="F218" s="6" t="n">
        <v>5</v>
      </c>
      <c r="G218" s="6" t="n">
        <v>5</v>
      </c>
      <c r="H218" s="6" t="n">
        <v>3</v>
      </c>
      <c r="I218" s="6" t="n">
        <v>6</v>
      </c>
      <c r="J218" s="6" t="n">
        <v>0</v>
      </c>
      <c r="K218" s="7" t="n">
        <f aca="false">SUM(D218:J218)</f>
        <v>23</v>
      </c>
    </row>
    <row r="219" customFormat="false" ht="15" hidden="false" customHeight="false" outlineLevel="0" collapsed="false">
      <c r="A219" s="42"/>
      <c r="B219" s="42"/>
      <c r="C219" s="44" t="s">
        <v>14</v>
      </c>
      <c r="D219" s="9" t="n">
        <v>2.7</v>
      </c>
      <c r="E219" s="9" t="n">
        <v>2.2</v>
      </c>
      <c r="F219" s="9" t="n">
        <v>3.5</v>
      </c>
      <c r="G219" s="9" t="n">
        <v>3.2</v>
      </c>
      <c r="H219" s="9" t="n">
        <v>3.8</v>
      </c>
      <c r="I219" s="9" t="n">
        <v>7.6</v>
      </c>
      <c r="J219" s="9" t="n">
        <v>0.2</v>
      </c>
      <c r="K219" s="10" t="n">
        <f aca="false">SUM(D219:J219)</f>
        <v>23.2</v>
      </c>
    </row>
    <row r="220" customFormat="false" ht="15" hidden="false" customHeight="false" outlineLevel="0" collapsed="false">
      <c r="A220" s="42"/>
      <c r="B220" s="42"/>
      <c r="C220" s="11" t="s">
        <v>41</v>
      </c>
      <c r="D220" s="14" t="n">
        <f aca="false">IFERROR((D219-D218)/D218,0)</f>
        <v>0.35</v>
      </c>
      <c r="E220" s="14" t="n">
        <f aca="false">IFERROR((E219-E218)/E218,0)</f>
        <v>0.1</v>
      </c>
      <c r="F220" s="14" t="n">
        <f aca="false">IFERROR((F219-F218)/F218,0)</f>
        <v>-0.3</v>
      </c>
      <c r="G220" s="14" t="n">
        <f aca="false">IFERROR((G219-G218)/G218,0)</f>
        <v>-0.36</v>
      </c>
      <c r="H220" s="14" t="n">
        <f aca="false">IFERROR((H219-H218)/H218,0)</f>
        <v>0.266666666666667</v>
      </c>
      <c r="I220" s="14" t="n">
        <f aca="false">IFERROR((I219-I218)/I218,0)</f>
        <v>0.266666666666667</v>
      </c>
      <c r="J220" s="14" t="n">
        <f aca="false">IFERROR((J219-J218)/J218,0)</f>
        <v>0</v>
      </c>
      <c r="K220" s="15" t="n">
        <f aca="false">IFERROR((SUM(D219:J219)-SUM(D218:J218))/SUM(D218:J218),0)</f>
        <v>0.00869565217391301</v>
      </c>
    </row>
    <row r="221" customFormat="false" ht="15" hidden="false" customHeight="true" outlineLevel="0" collapsed="false">
      <c r="A221" s="42" t="s">
        <v>767</v>
      </c>
      <c r="B221" s="43" t="s">
        <v>768</v>
      </c>
      <c r="C221" s="5" t="s">
        <v>26</v>
      </c>
      <c r="D221" s="6" t="n">
        <v>3</v>
      </c>
      <c r="E221" s="6" t="n">
        <v>2</v>
      </c>
      <c r="F221" s="6" t="n">
        <v>9</v>
      </c>
      <c r="G221" s="6" t="n">
        <v>5</v>
      </c>
      <c r="H221" s="6" t="n">
        <v>1</v>
      </c>
      <c r="I221" s="6" t="n">
        <v>1</v>
      </c>
      <c r="J221" s="6" t="n">
        <v>1</v>
      </c>
      <c r="K221" s="7" t="n">
        <f aca="false">SUM(D221:J221)</f>
        <v>22</v>
      </c>
    </row>
    <row r="222" customFormat="false" ht="15" hidden="false" customHeight="false" outlineLevel="0" collapsed="false">
      <c r="A222" s="42"/>
      <c r="B222" s="42"/>
      <c r="C222" s="44" t="s">
        <v>14</v>
      </c>
      <c r="D222" s="9" t="n">
        <v>2.6</v>
      </c>
      <c r="E222" s="9" t="n">
        <v>3.5</v>
      </c>
      <c r="F222" s="9" t="n">
        <v>4.4</v>
      </c>
      <c r="G222" s="9" t="n">
        <v>5.2</v>
      </c>
      <c r="H222" s="9" t="n">
        <v>2.4</v>
      </c>
      <c r="I222" s="9" t="n">
        <v>3</v>
      </c>
      <c r="J222" s="9" t="n">
        <v>2.2</v>
      </c>
      <c r="K222" s="10" t="n">
        <f aca="false">SUM(D222:J222)</f>
        <v>23.3</v>
      </c>
    </row>
    <row r="223" customFormat="false" ht="15" hidden="false" customHeight="false" outlineLevel="0" collapsed="false">
      <c r="A223" s="42"/>
      <c r="B223" s="42"/>
      <c r="C223" s="11" t="s">
        <v>41</v>
      </c>
      <c r="D223" s="14" t="n">
        <f aca="false">IFERROR((D222-D221)/D221,0)</f>
        <v>-0.133333333333333</v>
      </c>
      <c r="E223" s="14" t="n">
        <f aca="false">IFERROR((E222-E221)/E221,0)</f>
        <v>0.75</v>
      </c>
      <c r="F223" s="14" t="n">
        <f aca="false">IFERROR((F222-F221)/F221,0)</f>
        <v>-0.511111111111111</v>
      </c>
      <c r="G223" s="14" t="n">
        <f aca="false">IFERROR((G222-G221)/G221,0)</f>
        <v>0.04</v>
      </c>
      <c r="H223" s="14" t="n">
        <f aca="false">IFERROR((H222-H221)/H221,0)</f>
        <v>1.4</v>
      </c>
      <c r="I223" s="14" t="n">
        <f aca="false">IFERROR((I222-I221)/I221,0)</f>
        <v>2</v>
      </c>
      <c r="J223" s="14" t="n">
        <f aca="false">IFERROR((J222-J221)/J221,0)</f>
        <v>1.2</v>
      </c>
      <c r="K223" s="15" t="n">
        <f aca="false">IFERROR((SUM(D222:J222)-SUM(D221:J221))/SUM(D221:J221),0)</f>
        <v>0.0590909090909091</v>
      </c>
    </row>
    <row r="224" customFormat="false" ht="15" hidden="false" customHeight="true" outlineLevel="0" collapsed="false">
      <c r="A224" s="42" t="s">
        <v>769</v>
      </c>
      <c r="B224" s="43" t="s">
        <v>770</v>
      </c>
      <c r="C224" s="5" t="s">
        <v>26</v>
      </c>
      <c r="D224" s="6" t="n">
        <v>3</v>
      </c>
      <c r="E224" s="6" t="n">
        <v>2</v>
      </c>
      <c r="F224" s="6" t="n">
        <v>5</v>
      </c>
      <c r="G224" s="6" t="n">
        <v>2</v>
      </c>
      <c r="H224" s="6" t="n">
        <v>4</v>
      </c>
      <c r="I224" s="6" t="n">
        <v>2</v>
      </c>
      <c r="J224" s="6" t="n">
        <v>3</v>
      </c>
      <c r="K224" s="7" t="n">
        <f aca="false">SUM(D224:J224)</f>
        <v>21</v>
      </c>
    </row>
    <row r="225" customFormat="false" ht="15" hidden="false" customHeight="false" outlineLevel="0" collapsed="false">
      <c r="A225" s="42"/>
      <c r="B225" s="42"/>
      <c r="C225" s="44" t="s">
        <v>14</v>
      </c>
      <c r="D225" s="9" t="n">
        <v>4.9</v>
      </c>
      <c r="E225" s="9" t="n">
        <v>3.9</v>
      </c>
      <c r="F225" s="9" t="n">
        <v>3.5</v>
      </c>
      <c r="G225" s="9" t="n">
        <v>3.4</v>
      </c>
      <c r="H225" s="9" t="n">
        <v>4.1</v>
      </c>
      <c r="I225" s="9" t="n">
        <v>2.5</v>
      </c>
      <c r="J225" s="9" t="n">
        <v>6.6</v>
      </c>
      <c r="K225" s="10" t="n">
        <f aca="false">SUM(D225:J225)</f>
        <v>28.9</v>
      </c>
    </row>
    <row r="226" customFormat="false" ht="15" hidden="false" customHeight="false" outlineLevel="0" collapsed="false">
      <c r="A226" s="42"/>
      <c r="B226" s="42"/>
      <c r="C226" s="11" t="s">
        <v>41</v>
      </c>
      <c r="D226" s="14" t="n">
        <f aca="false">IFERROR((D225-D224)/D224,0)</f>
        <v>0.633333333333333</v>
      </c>
      <c r="E226" s="14" t="n">
        <f aca="false">IFERROR((E225-E224)/E224,0)</f>
        <v>0.95</v>
      </c>
      <c r="F226" s="14" t="n">
        <f aca="false">IFERROR((F225-F224)/F224,0)</f>
        <v>-0.3</v>
      </c>
      <c r="G226" s="14" t="n">
        <f aca="false">IFERROR((G225-G224)/G224,0)</f>
        <v>0.7</v>
      </c>
      <c r="H226" s="14" t="n">
        <f aca="false">IFERROR((H225-H224)/H224,0)</f>
        <v>0.0249999999999999</v>
      </c>
      <c r="I226" s="14" t="n">
        <f aca="false">IFERROR((I225-I224)/I224,0)</f>
        <v>0.25</v>
      </c>
      <c r="J226" s="14" t="n">
        <f aca="false">IFERROR((J225-J224)/J224,0)</f>
        <v>1.2</v>
      </c>
      <c r="K226" s="15" t="n">
        <f aca="false">IFERROR((SUM(D225:J225)-SUM(D224:J224))/SUM(D224:J224),0)</f>
        <v>0.376190476190476</v>
      </c>
    </row>
    <row r="227" customFormat="false" ht="15" hidden="false" customHeight="true" outlineLevel="0" collapsed="false">
      <c r="A227" s="42" t="s">
        <v>771</v>
      </c>
      <c r="B227" s="43" t="s">
        <v>758</v>
      </c>
      <c r="C227" s="5" t="s">
        <v>26</v>
      </c>
      <c r="D227" s="6" t="n">
        <v>5</v>
      </c>
      <c r="E227" s="6" t="n">
        <v>2</v>
      </c>
      <c r="F227" s="6" t="n">
        <v>3</v>
      </c>
      <c r="G227" s="6" t="n">
        <v>2</v>
      </c>
      <c r="H227" s="6" t="n">
        <v>1</v>
      </c>
      <c r="I227" s="6" t="n">
        <v>2</v>
      </c>
      <c r="J227" s="6" t="n">
        <v>1</v>
      </c>
      <c r="K227" s="7" t="n">
        <f aca="false">SUM(D227:J227)</f>
        <v>16</v>
      </c>
    </row>
    <row r="228" customFormat="false" ht="15" hidden="false" customHeight="false" outlineLevel="0" collapsed="false">
      <c r="A228" s="42"/>
      <c r="B228" s="42"/>
      <c r="C228" s="44" t="s">
        <v>14</v>
      </c>
      <c r="D228" s="9" t="n">
        <v>3.6</v>
      </c>
      <c r="E228" s="9" t="n">
        <v>2.3</v>
      </c>
      <c r="F228" s="9" t="n">
        <v>2.1</v>
      </c>
      <c r="G228" s="9" t="n">
        <v>1.2</v>
      </c>
      <c r="H228" s="9" t="n">
        <v>1.7</v>
      </c>
      <c r="I228" s="9" t="n">
        <v>3.4</v>
      </c>
      <c r="J228" s="9" t="n">
        <v>2.6</v>
      </c>
      <c r="K228" s="10" t="n">
        <f aca="false">SUM(D228:J228)</f>
        <v>16.9</v>
      </c>
    </row>
    <row r="229" customFormat="false" ht="15" hidden="false" customHeight="false" outlineLevel="0" collapsed="false">
      <c r="A229" s="42"/>
      <c r="B229" s="42"/>
      <c r="C229" s="11" t="s">
        <v>41</v>
      </c>
      <c r="D229" s="14" t="n">
        <f aca="false">IFERROR((D228-D227)/D227,0)</f>
        <v>-0.28</v>
      </c>
      <c r="E229" s="14" t="n">
        <f aca="false">IFERROR((E228-E227)/E227,0)</f>
        <v>0.15</v>
      </c>
      <c r="F229" s="14" t="n">
        <f aca="false">IFERROR((F228-F227)/F227,0)</f>
        <v>-0.3</v>
      </c>
      <c r="G229" s="14" t="n">
        <f aca="false">IFERROR((G228-G227)/G227,0)</f>
        <v>-0.4</v>
      </c>
      <c r="H229" s="14" t="n">
        <f aca="false">IFERROR((H228-H227)/H227,0)</f>
        <v>0.7</v>
      </c>
      <c r="I229" s="14" t="n">
        <f aca="false">IFERROR((I228-I227)/I227,0)</f>
        <v>0.7</v>
      </c>
      <c r="J229" s="14" t="n">
        <f aca="false">IFERROR((J228-J227)/J227,0)</f>
        <v>1.6</v>
      </c>
      <c r="K229" s="15" t="n">
        <f aca="false">IFERROR((SUM(D228:J228)-SUM(D227:J227))/SUM(D227:J227),0)</f>
        <v>0.0562500000000001</v>
      </c>
    </row>
    <row r="230" customFormat="false" ht="15" hidden="false" customHeight="true" outlineLevel="0" collapsed="false">
      <c r="A230" s="42" t="s">
        <v>772</v>
      </c>
      <c r="B230" s="43" t="s">
        <v>773</v>
      </c>
      <c r="C230" s="5" t="s">
        <v>26</v>
      </c>
      <c r="D230" s="6" t="n">
        <v>4</v>
      </c>
      <c r="E230" s="6" t="n">
        <v>1</v>
      </c>
      <c r="F230" s="6" t="n">
        <v>1</v>
      </c>
      <c r="G230" s="6" t="n">
        <v>2</v>
      </c>
      <c r="H230" s="6" t="n">
        <v>2</v>
      </c>
      <c r="I230" s="6" t="n">
        <v>1</v>
      </c>
      <c r="J230" s="6" t="n">
        <v>0</v>
      </c>
      <c r="K230" s="7" t="n">
        <f aca="false">SUM(D230:J230)</f>
        <v>11</v>
      </c>
    </row>
    <row r="231" customFormat="false" ht="15" hidden="false" customHeight="false" outlineLevel="0" collapsed="false">
      <c r="A231" s="42"/>
      <c r="B231" s="42"/>
      <c r="C231" s="44" t="s">
        <v>14</v>
      </c>
      <c r="D231" s="9" t="n">
        <v>2</v>
      </c>
      <c r="E231" s="9" t="n">
        <v>1.3</v>
      </c>
      <c r="F231" s="9" t="n">
        <v>1.4</v>
      </c>
      <c r="G231" s="9" t="n">
        <v>1.3</v>
      </c>
      <c r="H231" s="9" t="n">
        <v>1.5</v>
      </c>
      <c r="I231" s="9" t="n">
        <v>0.7</v>
      </c>
      <c r="J231" s="9" t="n">
        <v>1.2</v>
      </c>
      <c r="K231" s="10" t="n">
        <f aca="false">SUM(D231:J231)</f>
        <v>9.4</v>
      </c>
    </row>
    <row r="232" customFormat="false" ht="15" hidden="false" customHeight="false" outlineLevel="0" collapsed="false">
      <c r="A232" s="42"/>
      <c r="B232" s="42"/>
      <c r="C232" s="11" t="s">
        <v>41</v>
      </c>
      <c r="D232" s="14" t="n">
        <f aca="false">IFERROR((D231-D230)/D230,0)</f>
        <v>-0.5</v>
      </c>
      <c r="E232" s="14" t="n">
        <f aca="false">IFERROR((E231-E230)/E230,0)</f>
        <v>0.3</v>
      </c>
      <c r="F232" s="14" t="n">
        <f aca="false">IFERROR((F231-F230)/F230,0)</f>
        <v>0.4</v>
      </c>
      <c r="G232" s="14" t="n">
        <f aca="false">IFERROR((G231-G230)/G230,0)</f>
        <v>-0.35</v>
      </c>
      <c r="H232" s="14" t="n">
        <f aca="false">IFERROR((H231-H230)/H230,0)</f>
        <v>-0.25</v>
      </c>
      <c r="I232" s="14" t="n">
        <f aca="false">IFERROR((I231-I230)/I230,0)</f>
        <v>-0.3</v>
      </c>
      <c r="J232" s="14" t="n">
        <f aca="false">IFERROR((J231-J230)/J230,0)</f>
        <v>0</v>
      </c>
      <c r="K232" s="15" t="n">
        <f aca="false">IFERROR((SUM(D231:J231)-SUM(D230:J230))/SUM(D230:J230),0)</f>
        <v>-0.145454545454546</v>
      </c>
    </row>
    <row r="233" customFormat="false" ht="15" hidden="false" customHeight="true" outlineLevel="0" collapsed="false">
      <c r="A233" s="42" t="s">
        <v>774</v>
      </c>
      <c r="B233" s="43" t="s">
        <v>775</v>
      </c>
      <c r="C233" s="5" t="s">
        <v>26</v>
      </c>
      <c r="D233" s="6" t="n">
        <v>3</v>
      </c>
      <c r="E233" s="6" t="n">
        <v>0</v>
      </c>
      <c r="F233" s="6" t="n">
        <v>2</v>
      </c>
      <c r="G233" s="6" t="n">
        <v>0</v>
      </c>
      <c r="H233" s="6" t="n">
        <v>0</v>
      </c>
      <c r="I233" s="6" t="n">
        <v>3</v>
      </c>
      <c r="J233" s="6" t="n">
        <v>2</v>
      </c>
      <c r="K233" s="7" t="n">
        <f aca="false">SUM(D233:J233)</f>
        <v>10</v>
      </c>
    </row>
    <row r="234" customFormat="false" ht="15" hidden="false" customHeight="false" outlineLevel="0" collapsed="false">
      <c r="A234" s="42"/>
      <c r="B234" s="42"/>
      <c r="C234" s="44" t="s">
        <v>14</v>
      </c>
      <c r="D234" s="9" t="n">
        <v>2.6</v>
      </c>
      <c r="E234" s="9" t="n">
        <v>0.4</v>
      </c>
      <c r="F234" s="9" t="n">
        <v>1.1</v>
      </c>
      <c r="G234" s="9" t="n">
        <v>0.8</v>
      </c>
      <c r="H234" s="9" t="n">
        <v>0.4</v>
      </c>
      <c r="I234" s="9" t="n">
        <v>0.7</v>
      </c>
      <c r="J234" s="9" t="n">
        <v>1.9</v>
      </c>
      <c r="K234" s="10" t="n">
        <f aca="false">SUM(D234:J234)</f>
        <v>7.9</v>
      </c>
    </row>
    <row r="235" customFormat="false" ht="15" hidden="false" customHeight="false" outlineLevel="0" collapsed="false">
      <c r="A235" s="42"/>
      <c r="B235" s="42"/>
      <c r="C235" s="11" t="s">
        <v>41</v>
      </c>
      <c r="D235" s="14" t="n">
        <f aca="false">IFERROR((D234-D233)/D233,0)</f>
        <v>-0.133333333333333</v>
      </c>
      <c r="E235" s="14" t="n">
        <f aca="false">IFERROR((E234-E233)/E233,0)</f>
        <v>0</v>
      </c>
      <c r="F235" s="14" t="n">
        <f aca="false">IFERROR((F234-F233)/F233,0)</f>
        <v>-0.45</v>
      </c>
      <c r="G235" s="14" t="n">
        <f aca="false">IFERROR((G234-G233)/G233,0)</f>
        <v>0</v>
      </c>
      <c r="H235" s="14" t="n">
        <f aca="false">IFERROR((H234-H233)/H233,0)</f>
        <v>0</v>
      </c>
      <c r="I235" s="14" t="n">
        <f aca="false">IFERROR((I234-I233)/I233,0)</f>
        <v>-0.766666666666667</v>
      </c>
      <c r="J235" s="14" t="n">
        <f aca="false">IFERROR((J234-J233)/J233,0)</f>
        <v>-0.05</v>
      </c>
      <c r="K235" s="15" t="n">
        <f aca="false">IFERROR((SUM(D234:J234)-SUM(D233:J233))/SUM(D233:J233),0)</f>
        <v>-0.21</v>
      </c>
    </row>
    <row r="236" customFormat="false" ht="15" hidden="false" customHeight="true" outlineLevel="0" collapsed="false">
      <c r="A236" s="42" t="s">
        <v>776</v>
      </c>
      <c r="B236" s="43" t="s">
        <v>777</v>
      </c>
      <c r="C236" s="5" t="s">
        <v>26</v>
      </c>
      <c r="D236" s="6" t="n">
        <v>0</v>
      </c>
      <c r="E236" s="6" t="n">
        <v>3</v>
      </c>
      <c r="F236" s="6" t="n">
        <v>2</v>
      </c>
      <c r="G236" s="6" t="n">
        <v>1</v>
      </c>
      <c r="H236" s="6" t="n">
        <v>1</v>
      </c>
      <c r="I236" s="6" t="n">
        <v>2</v>
      </c>
      <c r="J236" s="6" t="n">
        <v>0</v>
      </c>
      <c r="K236" s="7" t="n">
        <f aca="false">SUM(D236:J236)</f>
        <v>9</v>
      </c>
    </row>
    <row r="237" customFormat="false" ht="15" hidden="false" customHeight="false" outlineLevel="0" collapsed="false">
      <c r="A237" s="42"/>
      <c r="B237" s="42"/>
      <c r="C237" s="44" t="s">
        <v>14</v>
      </c>
      <c r="D237" s="9" t="n">
        <v>0.1</v>
      </c>
      <c r="E237" s="9" t="n">
        <v>1.9</v>
      </c>
      <c r="F237" s="9" t="n">
        <v>2.3</v>
      </c>
      <c r="G237" s="9" t="n">
        <v>1.7</v>
      </c>
      <c r="H237" s="9" t="n">
        <v>1.2</v>
      </c>
      <c r="I237" s="9" t="n">
        <v>3.2</v>
      </c>
      <c r="J237" s="9" t="n">
        <v>0.2</v>
      </c>
      <c r="K237" s="10" t="n">
        <f aca="false">SUM(D237:J237)</f>
        <v>10.6</v>
      </c>
    </row>
    <row r="238" customFormat="false" ht="15" hidden="false" customHeight="false" outlineLevel="0" collapsed="false">
      <c r="A238" s="42"/>
      <c r="B238" s="42"/>
      <c r="C238" s="11" t="s">
        <v>41</v>
      </c>
      <c r="D238" s="14" t="n">
        <f aca="false">IFERROR((D237-D236)/D236,0)</f>
        <v>0</v>
      </c>
      <c r="E238" s="14" t="n">
        <f aca="false">IFERROR((E237-E236)/E236,0)</f>
        <v>-0.366666666666667</v>
      </c>
      <c r="F238" s="14" t="n">
        <f aca="false">IFERROR((F237-F236)/F236,0)</f>
        <v>0.15</v>
      </c>
      <c r="G238" s="14" t="n">
        <f aca="false">IFERROR((G237-G236)/G236,0)</f>
        <v>0.7</v>
      </c>
      <c r="H238" s="14" t="n">
        <f aca="false">IFERROR((H237-H236)/H236,0)</f>
        <v>0.2</v>
      </c>
      <c r="I238" s="14" t="n">
        <f aca="false">IFERROR((I237-I236)/I236,0)</f>
        <v>0.6</v>
      </c>
      <c r="J238" s="14" t="n">
        <f aca="false">IFERROR((J237-J236)/J236,0)</f>
        <v>0</v>
      </c>
      <c r="K238" s="15" t="n">
        <f aca="false">IFERROR((SUM(D237:J237)-SUM(D236:J236))/SUM(D236:J236),0)</f>
        <v>0.177777777777778</v>
      </c>
    </row>
    <row r="239" customFormat="false" ht="15" hidden="false" customHeight="true" outlineLevel="0" collapsed="false">
      <c r="A239" s="42" t="s">
        <v>778</v>
      </c>
      <c r="B239" s="43" t="s">
        <v>779</v>
      </c>
      <c r="C239" s="5" t="s">
        <v>26</v>
      </c>
      <c r="D239" s="6" t="n">
        <v>5</v>
      </c>
      <c r="E239" s="6" t="n">
        <v>0</v>
      </c>
      <c r="F239" s="6" t="n">
        <v>0</v>
      </c>
      <c r="G239" s="6" t="n">
        <v>0</v>
      </c>
      <c r="H239" s="6" t="n">
        <v>1</v>
      </c>
      <c r="I239" s="6" t="n">
        <v>3</v>
      </c>
      <c r="J239" s="6" t="n">
        <v>0</v>
      </c>
      <c r="K239" s="7" t="n">
        <f aca="false">SUM(D239:J239)</f>
        <v>9</v>
      </c>
    </row>
    <row r="240" customFormat="false" ht="15" hidden="false" customHeight="false" outlineLevel="0" collapsed="false">
      <c r="A240" s="42"/>
      <c r="B240" s="42"/>
      <c r="C240" s="44" t="s">
        <v>14</v>
      </c>
      <c r="D240" s="9" t="n">
        <v>3.1</v>
      </c>
      <c r="E240" s="9" t="n">
        <v>0.6</v>
      </c>
      <c r="F240" s="9" t="n">
        <v>0.6</v>
      </c>
      <c r="G240" s="9" t="n">
        <v>0.4</v>
      </c>
      <c r="H240" s="9" t="n">
        <v>0.3</v>
      </c>
      <c r="I240" s="9" t="n">
        <v>3</v>
      </c>
      <c r="J240" s="9" t="n">
        <v>0.3</v>
      </c>
      <c r="K240" s="10" t="n">
        <f aca="false">SUM(D240:J240)</f>
        <v>8.3</v>
      </c>
    </row>
    <row r="241" customFormat="false" ht="15" hidden="false" customHeight="false" outlineLevel="0" collapsed="false">
      <c r="A241" s="42"/>
      <c r="B241" s="42"/>
      <c r="C241" s="11" t="s">
        <v>41</v>
      </c>
      <c r="D241" s="14" t="n">
        <f aca="false">IFERROR((D240-D239)/D239,0)</f>
        <v>-0.38</v>
      </c>
      <c r="E241" s="14" t="n">
        <f aca="false">IFERROR((E240-E239)/E239,0)</f>
        <v>0</v>
      </c>
      <c r="F241" s="14" t="n">
        <f aca="false">IFERROR((F240-F239)/F239,0)</f>
        <v>0</v>
      </c>
      <c r="G241" s="14" t="n">
        <f aca="false">IFERROR((G240-G239)/G239,0)</f>
        <v>0</v>
      </c>
      <c r="H241" s="14" t="n">
        <f aca="false">IFERROR((H240-H239)/H239,0)</f>
        <v>-0.7</v>
      </c>
      <c r="I241" s="14" t="n">
        <f aca="false">IFERROR((I240-I239)/I239,0)</f>
        <v>0</v>
      </c>
      <c r="J241" s="14" t="n">
        <f aca="false">IFERROR((J240-J239)/J239,0)</f>
        <v>0</v>
      </c>
      <c r="K241" s="15" t="n">
        <f aca="false">IFERROR((SUM(D240:J240)-SUM(D239:J239))/SUM(D239:J239),0)</f>
        <v>-0.0777777777777777</v>
      </c>
    </row>
    <row r="242" customFormat="false" ht="15" hidden="false" customHeight="true" outlineLevel="0" collapsed="false">
      <c r="A242" s="42" t="s">
        <v>780</v>
      </c>
      <c r="B242" s="43" t="s">
        <v>781</v>
      </c>
      <c r="C242" s="5" t="s">
        <v>26</v>
      </c>
      <c r="D242" s="6" t="n">
        <v>4</v>
      </c>
      <c r="E242" s="6" t="n">
        <v>0</v>
      </c>
      <c r="F242" s="6" t="n">
        <v>0</v>
      </c>
      <c r="G242" s="6" t="n">
        <v>0</v>
      </c>
      <c r="H242" s="6" t="n">
        <v>3</v>
      </c>
      <c r="I242" s="6" t="n">
        <v>1</v>
      </c>
      <c r="J242" s="6" t="n">
        <v>0</v>
      </c>
      <c r="K242" s="7" t="n">
        <f aca="false">SUM(D242:J242)</f>
        <v>8</v>
      </c>
    </row>
    <row r="243" customFormat="false" ht="15" hidden="false" customHeight="false" outlineLevel="0" collapsed="false">
      <c r="A243" s="42"/>
      <c r="B243" s="42"/>
      <c r="C243" s="44" t="s">
        <v>14</v>
      </c>
      <c r="D243" s="9" t="n">
        <v>2.2</v>
      </c>
      <c r="E243" s="9" t="n">
        <v>0.1</v>
      </c>
      <c r="F243" s="9" t="n">
        <v>0.2</v>
      </c>
      <c r="G243" s="9" t="n">
        <v>0.2</v>
      </c>
      <c r="H243" s="9" t="n">
        <v>0.3</v>
      </c>
      <c r="I243" s="9" t="n">
        <v>1.6</v>
      </c>
      <c r="J243" s="9" t="n">
        <v>0.3</v>
      </c>
      <c r="K243" s="10" t="n">
        <f aca="false">SUM(D243:J243)</f>
        <v>4.9</v>
      </c>
    </row>
    <row r="244" customFormat="false" ht="15" hidden="false" customHeight="false" outlineLevel="0" collapsed="false">
      <c r="A244" s="42"/>
      <c r="B244" s="42"/>
      <c r="C244" s="11" t="s">
        <v>41</v>
      </c>
      <c r="D244" s="14" t="n">
        <f aca="false">IFERROR((D243-D242)/D242,0)</f>
        <v>-0.45</v>
      </c>
      <c r="E244" s="14" t="n">
        <f aca="false">IFERROR((E243-E242)/E242,0)</f>
        <v>0</v>
      </c>
      <c r="F244" s="14" t="n">
        <f aca="false">IFERROR((F243-F242)/F242,0)</f>
        <v>0</v>
      </c>
      <c r="G244" s="14" t="n">
        <f aca="false">IFERROR((G243-G242)/G242,0)</f>
        <v>0</v>
      </c>
      <c r="H244" s="14" t="n">
        <f aca="false">IFERROR((H243-H242)/H242,0)</f>
        <v>-0.9</v>
      </c>
      <c r="I244" s="14" t="n">
        <f aca="false">IFERROR((I243-I242)/I242,0)</f>
        <v>0.6</v>
      </c>
      <c r="J244" s="14" t="n">
        <f aca="false">IFERROR((J243-J242)/J242,0)</f>
        <v>0</v>
      </c>
      <c r="K244" s="15" t="n">
        <f aca="false">IFERROR((SUM(D243:J243)-SUM(D242:J242))/SUM(D242:J242),0)</f>
        <v>-0.3875</v>
      </c>
    </row>
    <row r="245" customFormat="false" ht="15" hidden="false" customHeight="true" outlineLevel="0" collapsed="false">
      <c r="A245" s="42" t="s">
        <v>782</v>
      </c>
      <c r="B245" s="43" t="s">
        <v>783</v>
      </c>
      <c r="C245" s="5" t="s">
        <v>26</v>
      </c>
      <c r="D245" s="6" t="n">
        <v>2</v>
      </c>
      <c r="E245" s="6" t="n">
        <v>0</v>
      </c>
      <c r="F245" s="6" t="n">
        <v>1</v>
      </c>
      <c r="G245" s="6" t="n">
        <v>3</v>
      </c>
      <c r="H245" s="6" t="n">
        <v>0</v>
      </c>
      <c r="I245" s="6" t="n">
        <v>1</v>
      </c>
      <c r="J245" s="6" t="n">
        <v>1</v>
      </c>
      <c r="K245" s="7" t="n">
        <f aca="false">SUM(D245:J245)</f>
        <v>8</v>
      </c>
    </row>
    <row r="246" customFormat="false" ht="15" hidden="false" customHeight="false" outlineLevel="0" collapsed="false">
      <c r="A246" s="42"/>
      <c r="B246" s="42"/>
      <c r="C246" s="44" t="s">
        <v>14</v>
      </c>
      <c r="D246" s="9" t="n">
        <v>1</v>
      </c>
      <c r="E246" s="9" t="n">
        <v>0.3</v>
      </c>
      <c r="F246" s="9" t="n">
        <v>0.5</v>
      </c>
      <c r="G246" s="9" t="n">
        <v>2.2</v>
      </c>
      <c r="H246" s="9" t="n">
        <v>1.2</v>
      </c>
      <c r="I246" s="9" t="n">
        <v>1.3</v>
      </c>
      <c r="J246" s="9" t="n">
        <v>1.9</v>
      </c>
      <c r="K246" s="10" t="n">
        <f aca="false">SUM(D246:J246)</f>
        <v>8.4</v>
      </c>
    </row>
    <row r="247" customFormat="false" ht="15" hidden="false" customHeight="false" outlineLevel="0" collapsed="false">
      <c r="A247" s="42"/>
      <c r="B247" s="42"/>
      <c r="C247" s="11" t="s">
        <v>41</v>
      </c>
      <c r="D247" s="14" t="n">
        <f aca="false">IFERROR((D246-D245)/D245,0)</f>
        <v>-0.5</v>
      </c>
      <c r="E247" s="14" t="n">
        <f aca="false">IFERROR((E246-E245)/E245,0)</f>
        <v>0</v>
      </c>
      <c r="F247" s="14" t="n">
        <f aca="false">IFERROR((F246-F245)/F245,0)</f>
        <v>-0.5</v>
      </c>
      <c r="G247" s="14" t="n">
        <f aca="false">IFERROR((G246-G245)/G245,0)</f>
        <v>-0.266666666666667</v>
      </c>
      <c r="H247" s="14" t="n">
        <f aca="false">IFERROR((H246-H245)/H245,0)</f>
        <v>0</v>
      </c>
      <c r="I247" s="14" t="n">
        <f aca="false">IFERROR((I246-I245)/I245,0)</f>
        <v>0.3</v>
      </c>
      <c r="J247" s="14" t="n">
        <f aca="false">IFERROR((J246-J245)/J245,0)</f>
        <v>0.9</v>
      </c>
      <c r="K247" s="15" t="n">
        <f aca="false">IFERROR((SUM(D246:J246)-SUM(D245:J245))/SUM(D245:J245),0)</f>
        <v>0.05</v>
      </c>
    </row>
    <row r="248" customFormat="false" ht="15" hidden="false" customHeight="true" outlineLevel="0" collapsed="false">
      <c r="A248" s="42" t="s">
        <v>784</v>
      </c>
      <c r="B248" s="43" t="s">
        <v>785</v>
      </c>
      <c r="C248" s="5" t="s">
        <v>26</v>
      </c>
      <c r="D248" s="6" t="n">
        <v>5</v>
      </c>
      <c r="E248" s="6" t="n">
        <v>1</v>
      </c>
      <c r="F248" s="6" t="n">
        <v>0</v>
      </c>
      <c r="G248" s="6" t="n">
        <v>1</v>
      </c>
      <c r="H248" s="6" t="n">
        <v>0</v>
      </c>
      <c r="I248" s="6" t="n">
        <v>0</v>
      </c>
      <c r="J248" s="6" t="n">
        <v>0</v>
      </c>
      <c r="K248" s="7" t="n">
        <f aca="false">SUM(D248:J248)</f>
        <v>7</v>
      </c>
    </row>
    <row r="249" customFormat="false" ht="15" hidden="false" customHeight="false" outlineLevel="0" collapsed="false">
      <c r="A249" s="42"/>
      <c r="B249" s="42"/>
      <c r="C249" s="44" t="s">
        <v>14</v>
      </c>
      <c r="D249" s="9" t="n">
        <v>2.5</v>
      </c>
      <c r="E249" s="9" t="n">
        <v>0.6</v>
      </c>
      <c r="F249" s="9" t="n">
        <v>0.1</v>
      </c>
      <c r="G249" s="9" t="n">
        <v>0.2</v>
      </c>
      <c r="H249" s="9" t="n">
        <v>0</v>
      </c>
      <c r="I249" s="9" t="n">
        <v>0.2</v>
      </c>
      <c r="J249" s="9" t="n">
        <v>0.1</v>
      </c>
      <c r="K249" s="10" t="n">
        <f aca="false">SUM(D249:J249)</f>
        <v>3.7</v>
      </c>
    </row>
    <row r="250" customFormat="false" ht="15" hidden="false" customHeight="false" outlineLevel="0" collapsed="false">
      <c r="A250" s="42"/>
      <c r="B250" s="42"/>
      <c r="C250" s="11" t="s">
        <v>41</v>
      </c>
      <c r="D250" s="14" t="n">
        <f aca="false">IFERROR((D249-D248)/D248,0)</f>
        <v>-0.5</v>
      </c>
      <c r="E250" s="14" t="n">
        <f aca="false">IFERROR((E249-E248)/E248,0)</f>
        <v>-0.4</v>
      </c>
      <c r="F250" s="14" t="n">
        <f aca="false">IFERROR((F249-F248)/F248,0)</f>
        <v>0</v>
      </c>
      <c r="G250" s="14" t="n">
        <f aca="false">IFERROR((G249-G248)/G248,0)</f>
        <v>-0.8</v>
      </c>
      <c r="H250" s="14" t="n">
        <f aca="false">IFERROR((H249-H248)/H248,0)</f>
        <v>0</v>
      </c>
      <c r="I250" s="14" t="n">
        <f aca="false">IFERROR((I249-I248)/I248,0)</f>
        <v>0</v>
      </c>
      <c r="J250" s="14" t="n">
        <f aca="false">IFERROR((J249-J248)/J248,0)</f>
        <v>0</v>
      </c>
      <c r="K250" s="15" t="n">
        <f aca="false">IFERROR((SUM(D249:J249)-SUM(D248:J248))/SUM(D248:J248),0)</f>
        <v>-0.471428571428571</v>
      </c>
    </row>
    <row r="251" customFormat="false" ht="15" hidden="false" customHeight="true" outlineLevel="0" collapsed="false">
      <c r="A251" s="42" t="s">
        <v>786</v>
      </c>
      <c r="B251" s="43" t="s">
        <v>787</v>
      </c>
      <c r="C251" s="5" t="s">
        <v>26</v>
      </c>
      <c r="D251" s="6" t="n">
        <v>3</v>
      </c>
      <c r="E251" s="6" t="n">
        <v>1</v>
      </c>
      <c r="F251" s="6" t="n">
        <v>1</v>
      </c>
      <c r="G251" s="6" t="n">
        <v>0</v>
      </c>
      <c r="H251" s="6" t="n">
        <v>0</v>
      </c>
      <c r="I251" s="6" t="n">
        <v>0</v>
      </c>
      <c r="J251" s="6" t="n">
        <v>0</v>
      </c>
      <c r="K251" s="7" t="n">
        <f aca="false">SUM(D251:J251)</f>
        <v>5</v>
      </c>
    </row>
    <row r="252" customFormat="false" ht="15" hidden="false" customHeight="false" outlineLevel="0" collapsed="false">
      <c r="A252" s="42"/>
      <c r="B252" s="42"/>
      <c r="C252" s="44" t="s">
        <v>14</v>
      </c>
      <c r="D252" s="9" t="n">
        <v>1.9</v>
      </c>
      <c r="E252" s="9" t="n">
        <v>2</v>
      </c>
      <c r="F252" s="9" t="n">
        <v>2.1</v>
      </c>
      <c r="G252" s="9" t="n">
        <v>0.2</v>
      </c>
      <c r="H252" s="9" t="n">
        <v>0.4</v>
      </c>
      <c r="I252" s="9" t="n">
        <v>0.3</v>
      </c>
      <c r="J252" s="9" t="n">
        <v>0.3</v>
      </c>
      <c r="K252" s="10" t="n">
        <f aca="false">SUM(D252:J252)</f>
        <v>7.2</v>
      </c>
    </row>
    <row r="253" customFormat="false" ht="15" hidden="false" customHeight="false" outlineLevel="0" collapsed="false">
      <c r="A253" s="42"/>
      <c r="B253" s="42"/>
      <c r="C253" s="11" t="s">
        <v>41</v>
      </c>
      <c r="D253" s="14" t="n">
        <f aca="false">IFERROR((D252-D251)/D251,0)</f>
        <v>-0.366666666666667</v>
      </c>
      <c r="E253" s="14" t="n">
        <f aca="false">IFERROR((E252-E251)/E251,0)</f>
        <v>1</v>
      </c>
      <c r="F253" s="14" t="n">
        <f aca="false">IFERROR((F252-F251)/F251,0)</f>
        <v>1.1</v>
      </c>
      <c r="G253" s="14" t="n">
        <f aca="false">IFERROR((G252-G251)/G251,0)</f>
        <v>0</v>
      </c>
      <c r="H253" s="14" t="n">
        <f aca="false">IFERROR((H252-H251)/H251,0)</f>
        <v>0</v>
      </c>
      <c r="I253" s="14" t="n">
        <f aca="false">IFERROR((I252-I251)/I251,0)</f>
        <v>0</v>
      </c>
      <c r="J253" s="14" t="n">
        <f aca="false">IFERROR((J252-J251)/J251,0)</f>
        <v>0</v>
      </c>
      <c r="K253" s="15" t="n">
        <f aca="false">IFERROR((SUM(D252:J252)-SUM(D251:J251))/SUM(D251:J251),0)</f>
        <v>0.44</v>
      </c>
    </row>
    <row r="254" customFormat="false" ht="15" hidden="false" customHeight="true" outlineLevel="0" collapsed="false">
      <c r="A254" s="42" t="s">
        <v>788</v>
      </c>
      <c r="B254" s="43" t="s">
        <v>789</v>
      </c>
      <c r="C254" s="5" t="s">
        <v>26</v>
      </c>
      <c r="D254" s="6" t="n">
        <v>0</v>
      </c>
      <c r="E254" s="6" t="n">
        <v>1</v>
      </c>
      <c r="F254" s="6" t="n">
        <v>0</v>
      </c>
      <c r="G254" s="6" t="n">
        <v>1</v>
      </c>
      <c r="H254" s="6" t="n">
        <v>0</v>
      </c>
      <c r="I254" s="6" t="n">
        <v>0</v>
      </c>
      <c r="J254" s="6" t="n">
        <v>2</v>
      </c>
      <c r="K254" s="7" t="n">
        <f aca="false">SUM(D254:J254)</f>
        <v>4</v>
      </c>
    </row>
    <row r="255" customFormat="false" ht="15" hidden="false" customHeight="false" outlineLevel="0" collapsed="false">
      <c r="A255" s="42"/>
      <c r="B255" s="42"/>
      <c r="C255" s="44" t="s">
        <v>14</v>
      </c>
      <c r="D255" s="9" t="n">
        <v>0</v>
      </c>
      <c r="E255" s="9" t="n">
        <v>1.1</v>
      </c>
      <c r="F255" s="9" t="n">
        <v>0.2</v>
      </c>
      <c r="G255" s="9" t="n">
        <v>1.1</v>
      </c>
      <c r="H255" s="9" t="n">
        <v>0</v>
      </c>
      <c r="I255" s="9" t="n">
        <v>0</v>
      </c>
      <c r="J255" s="9" t="n">
        <v>1.9</v>
      </c>
      <c r="K255" s="10" t="n">
        <f aca="false">SUM(D255:J255)</f>
        <v>4.3</v>
      </c>
    </row>
    <row r="256" customFormat="false" ht="15" hidden="false" customHeight="false" outlineLevel="0" collapsed="false">
      <c r="A256" s="42"/>
      <c r="B256" s="42"/>
      <c r="C256" s="11" t="s">
        <v>41</v>
      </c>
      <c r="D256" s="14" t="n">
        <f aca="false">IFERROR((D255-D254)/D254,0)</f>
        <v>0</v>
      </c>
      <c r="E256" s="14" t="n">
        <f aca="false">IFERROR((E255-E254)/E254,0)</f>
        <v>0.1</v>
      </c>
      <c r="F256" s="14" t="n">
        <f aca="false">IFERROR((F255-F254)/F254,0)</f>
        <v>0</v>
      </c>
      <c r="G256" s="14" t="n">
        <f aca="false">IFERROR((G255-G254)/G254,0)</f>
        <v>0.1</v>
      </c>
      <c r="H256" s="14" t="n">
        <f aca="false">IFERROR((H255-H254)/H254,0)</f>
        <v>0</v>
      </c>
      <c r="I256" s="14" t="n">
        <f aca="false">IFERROR((I255-I254)/I254,0)</f>
        <v>0</v>
      </c>
      <c r="J256" s="14" t="n">
        <f aca="false">IFERROR((J255-J254)/J254,0)</f>
        <v>-0.05</v>
      </c>
      <c r="K256" s="15" t="n">
        <f aca="false">IFERROR((SUM(D255:J255)-SUM(D254:J254))/SUM(D254:J254),0)</f>
        <v>0.0750000000000002</v>
      </c>
    </row>
    <row r="257" customFormat="false" ht="15" hidden="false" customHeight="true" outlineLevel="0" collapsed="false">
      <c r="A257" s="42" t="s">
        <v>790</v>
      </c>
      <c r="B257" s="43" t="s">
        <v>791</v>
      </c>
      <c r="C257" s="5" t="s">
        <v>26</v>
      </c>
      <c r="D257" s="6" t="n">
        <v>2</v>
      </c>
      <c r="E257" s="6" t="n">
        <v>1</v>
      </c>
      <c r="F257" s="6" t="n">
        <v>1</v>
      </c>
      <c r="G257" s="6" t="n">
        <v>0</v>
      </c>
      <c r="H257" s="6" t="n">
        <v>0</v>
      </c>
      <c r="I257" s="6" t="n">
        <v>0</v>
      </c>
      <c r="J257" s="6" t="n">
        <v>0</v>
      </c>
      <c r="K257" s="7" t="n">
        <f aca="false">SUM(D257:J257)</f>
        <v>4</v>
      </c>
    </row>
    <row r="258" customFormat="false" ht="15" hidden="false" customHeight="false" outlineLevel="0" collapsed="false">
      <c r="A258" s="42"/>
      <c r="B258" s="42"/>
      <c r="C258" s="44" t="s">
        <v>14</v>
      </c>
      <c r="D258" s="9" t="n">
        <v>1.4</v>
      </c>
      <c r="E258" s="9" t="n">
        <v>1.2</v>
      </c>
      <c r="F258" s="9" t="n">
        <v>1.1</v>
      </c>
      <c r="G258" s="9" t="n">
        <v>0</v>
      </c>
      <c r="H258" s="9" t="n">
        <v>0.1</v>
      </c>
      <c r="I258" s="9" t="n">
        <v>0.1</v>
      </c>
      <c r="J258" s="9" t="n">
        <v>0.2</v>
      </c>
      <c r="K258" s="10" t="n">
        <f aca="false">SUM(D258:J258)</f>
        <v>4.1</v>
      </c>
    </row>
    <row r="259" customFormat="false" ht="15" hidden="false" customHeight="false" outlineLevel="0" collapsed="false">
      <c r="A259" s="42"/>
      <c r="B259" s="42"/>
      <c r="C259" s="11" t="s">
        <v>41</v>
      </c>
      <c r="D259" s="14" t="n">
        <f aca="false">IFERROR((D258-D257)/D257,0)</f>
        <v>-0.3</v>
      </c>
      <c r="E259" s="14" t="n">
        <f aca="false">IFERROR((E258-E257)/E257,0)</f>
        <v>0.2</v>
      </c>
      <c r="F259" s="14" t="n">
        <f aca="false">IFERROR((F258-F257)/F257,0)</f>
        <v>0.1</v>
      </c>
      <c r="G259" s="14" t="n">
        <f aca="false">IFERROR((G258-G257)/G257,0)</f>
        <v>0</v>
      </c>
      <c r="H259" s="14" t="n">
        <f aca="false">IFERROR((H258-H257)/H257,0)</f>
        <v>0</v>
      </c>
      <c r="I259" s="14" t="n">
        <f aca="false">IFERROR((I258-I257)/I257,0)</f>
        <v>0</v>
      </c>
      <c r="J259" s="14" t="n">
        <f aca="false">IFERROR((J258-J257)/J257,0)</f>
        <v>0</v>
      </c>
      <c r="K259" s="15" t="n">
        <f aca="false">IFERROR((SUM(D258:J258)-SUM(D257:J257))/SUM(D257:J257),0)</f>
        <v>0.0249999999999999</v>
      </c>
    </row>
    <row r="260" customFormat="false" ht="15" hidden="false" customHeight="true" outlineLevel="0" collapsed="false">
      <c r="A260" s="42" t="s">
        <v>792</v>
      </c>
      <c r="B260" s="43" t="s">
        <v>793</v>
      </c>
      <c r="C260" s="5" t="s">
        <v>26</v>
      </c>
      <c r="D260" s="6" t="n">
        <v>0</v>
      </c>
      <c r="E260" s="6" t="n">
        <v>1</v>
      </c>
      <c r="F260" s="6" t="n">
        <v>1</v>
      </c>
      <c r="G260" s="6" t="n">
        <v>0</v>
      </c>
      <c r="H260" s="6" t="n">
        <v>0</v>
      </c>
      <c r="I260" s="6" t="n">
        <v>0</v>
      </c>
      <c r="J260" s="6" t="n">
        <v>1</v>
      </c>
      <c r="K260" s="7" t="n">
        <f aca="false">SUM(D260:J260)</f>
        <v>3</v>
      </c>
    </row>
    <row r="261" customFormat="false" ht="15" hidden="false" customHeight="false" outlineLevel="0" collapsed="false">
      <c r="A261" s="42"/>
      <c r="B261" s="42"/>
      <c r="C261" s="44" t="s">
        <v>14</v>
      </c>
      <c r="D261" s="9" t="n">
        <v>0</v>
      </c>
      <c r="E261" s="9" t="n">
        <v>1.4</v>
      </c>
      <c r="F261" s="9" t="n">
        <v>1.7</v>
      </c>
      <c r="G261" s="9" t="n">
        <v>0.1</v>
      </c>
      <c r="H261" s="9" t="n">
        <v>0</v>
      </c>
      <c r="I261" s="9" t="n">
        <v>0</v>
      </c>
      <c r="J261" s="9" t="n">
        <v>2.3</v>
      </c>
      <c r="K261" s="10" t="n">
        <f aca="false">SUM(D261:J261)</f>
        <v>5.5</v>
      </c>
    </row>
    <row r="262" customFormat="false" ht="15" hidden="false" customHeight="false" outlineLevel="0" collapsed="false">
      <c r="A262" s="42"/>
      <c r="B262" s="42"/>
      <c r="C262" s="11" t="s">
        <v>41</v>
      </c>
      <c r="D262" s="14" t="n">
        <f aca="false">IFERROR((D261-D260)/D260,0)</f>
        <v>0</v>
      </c>
      <c r="E262" s="14" t="n">
        <f aca="false">IFERROR((E261-E260)/E260,0)</f>
        <v>0.4</v>
      </c>
      <c r="F262" s="14" t="n">
        <f aca="false">IFERROR((F261-F260)/F260,0)</f>
        <v>0.7</v>
      </c>
      <c r="G262" s="14" t="n">
        <f aca="false">IFERROR((G261-G260)/G260,0)</f>
        <v>0</v>
      </c>
      <c r="H262" s="14" t="n">
        <f aca="false">IFERROR((H261-H260)/H260,0)</f>
        <v>0</v>
      </c>
      <c r="I262" s="14" t="n">
        <f aca="false">IFERROR((I261-I260)/I260,0)</f>
        <v>0</v>
      </c>
      <c r="J262" s="14" t="n">
        <f aca="false">IFERROR((J261-J260)/J260,0)</f>
        <v>1.3</v>
      </c>
      <c r="K262" s="15" t="n">
        <f aca="false">IFERROR((SUM(D261:J261)-SUM(D260:J260))/SUM(D260:J260),0)</f>
        <v>0.833333333333333</v>
      </c>
    </row>
    <row r="263" customFormat="false" ht="15" hidden="false" customHeight="true" outlineLevel="0" collapsed="false">
      <c r="A263" s="42" t="s">
        <v>794</v>
      </c>
      <c r="B263" s="43" t="s">
        <v>795</v>
      </c>
      <c r="C263" s="5" t="s">
        <v>26</v>
      </c>
      <c r="D263" s="6" t="n">
        <v>0</v>
      </c>
      <c r="E263" s="6" t="n">
        <v>0</v>
      </c>
      <c r="F263" s="6" t="n">
        <v>0</v>
      </c>
      <c r="G263" s="6" t="n">
        <v>0</v>
      </c>
      <c r="H263" s="6" t="n">
        <v>0</v>
      </c>
      <c r="I263" s="6" t="n">
        <v>1</v>
      </c>
      <c r="J263" s="6" t="n">
        <v>1</v>
      </c>
      <c r="K263" s="7" t="n">
        <f aca="false">SUM(D263:J263)</f>
        <v>2</v>
      </c>
    </row>
    <row r="264" customFormat="false" ht="15" hidden="false" customHeight="false" outlineLevel="0" collapsed="false">
      <c r="A264" s="42"/>
      <c r="B264" s="42"/>
      <c r="C264" s="44" t="s">
        <v>14</v>
      </c>
      <c r="D264" s="9" t="n">
        <v>0</v>
      </c>
      <c r="E264" s="9" t="n">
        <v>0.1</v>
      </c>
      <c r="F264" s="9" t="n">
        <v>0.2</v>
      </c>
      <c r="G264" s="9" t="n">
        <v>0.1</v>
      </c>
      <c r="H264" s="9" t="n">
        <v>0.2</v>
      </c>
      <c r="I264" s="9" t="n">
        <v>0.5</v>
      </c>
      <c r="J264" s="9" t="n">
        <v>1.1</v>
      </c>
      <c r="K264" s="10" t="n">
        <f aca="false">SUM(D264:J264)</f>
        <v>2.2</v>
      </c>
    </row>
    <row r="265" customFormat="false" ht="15" hidden="false" customHeight="false" outlineLevel="0" collapsed="false">
      <c r="A265" s="42"/>
      <c r="B265" s="42"/>
      <c r="C265" s="11" t="s">
        <v>41</v>
      </c>
      <c r="D265" s="14" t="n">
        <f aca="false">IFERROR((D264-D263)/D263,0)</f>
        <v>0</v>
      </c>
      <c r="E265" s="14" t="n">
        <f aca="false">IFERROR((E264-E263)/E263,0)</f>
        <v>0</v>
      </c>
      <c r="F265" s="14" t="n">
        <f aca="false">IFERROR((F264-F263)/F263,0)</f>
        <v>0</v>
      </c>
      <c r="G265" s="14" t="n">
        <f aca="false">IFERROR((G264-G263)/G263,0)</f>
        <v>0</v>
      </c>
      <c r="H265" s="14" t="n">
        <f aca="false">IFERROR((H264-H263)/H263,0)</f>
        <v>0</v>
      </c>
      <c r="I265" s="14" t="n">
        <f aca="false">IFERROR((I264-I263)/I263,0)</f>
        <v>-0.5</v>
      </c>
      <c r="J265" s="14" t="n">
        <f aca="false">IFERROR((J264-J263)/J263,0)</f>
        <v>0.1</v>
      </c>
      <c r="K265" s="15" t="n">
        <f aca="false">IFERROR((SUM(D264:J264)-SUM(D263:J263))/SUM(D263:J263),0)</f>
        <v>0.1</v>
      </c>
    </row>
    <row r="266" customFormat="false" ht="15" hidden="false" customHeight="true" outlineLevel="0" collapsed="false">
      <c r="A266" s="42" t="s">
        <v>796</v>
      </c>
      <c r="B266" s="43" t="s">
        <v>797</v>
      </c>
      <c r="C266" s="5" t="s">
        <v>26</v>
      </c>
      <c r="D266" s="6" t="n">
        <v>1</v>
      </c>
      <c r="E266" s="6" t="n">
        <v>1</v>
      </c>
      <c r="F266" s="6" t="n">
        <v>0</v>
      </c>
      <c r="G266" s="6" t="n">
        <v>0</v>
      </c>
      <c r="H266" s="6" t="n">
        <v>0</v>
      </c>
      <c r="I266" s="6" t="n">
        <v>0</v>
      </c>
      <c r="J266" s="6" t="n">
        <v>0</v>
      </c>
      <c r="K266" s="7" t="n">
        <f aca="false">SUM(D266:J266)</f>
        <v>2</v>
      </c>
    </row>
    <row r="267" customFormat="false" ht="15" hidden="false" customHeight="false" outlineLevel="0" collapsed="false">
      <c r="A267" s="42"/>
      <c r="B267" s="42"/>
      <c r="C267" s="44" t="s">
        <v>14</v>
      </c>
      <c r="D267" s="9" t="n">
        <v>0.7</v>
      </c>
      <c r="E267" s="9" t="n">
        <v>1.5</v>
      </c>
      <c r="F267" s="9" t="n">
        <v>0.1</v>
      </c>
      <c r="G267" s="9" t="n">
        <v>0</v>
      </c>
      <c r="H267" s="9" t="n">
        <v>0</v>
      </c>
      <c r="I267" s="9" t="n">
        <v>0</v>
      </c>
      <c r="J267" s="9" t="n">
        <v>0</v>
      </c>
      <c r="K267" s="10" t="n">
        <f aca="false">SUM(D267:J267)</f>
        <v>2.3</v>
      </c>
    </row>
    <row r="268" customFormat="false" ht="15" hidden="false" customHeight="false" outlineLevel="0" collapsed="false">
      <c r="A268" s="42"/>
      <c r="B268" s="42"/>
      <c r="C268" s="11" t="s">
        <v>41</v>
      </c>
      <c r="D268" s="14" t="n">
        <f aca="false">IFERROR((D267-D266)/D266,0)</f>
        <v>-0.3</v>
      </c>
      <c r="E268" s="14" t="n">
        <f aca="false">IFERROR((E267-E266)/E266,0)</f>
        <v>0.5</v>
      </c>
      <c r="F268" s="14" t="n">
        <f aca="false">IFERROR((F267-F266)/F266,0)</f>
        <v>0</v>
      </c>
      <c r="G268" s="14" t="n">
        <f aca="false">IFERROR((G267-G266)/G266,0)</f>
        <v>0</v>
      </c>
      <c r="H268" s="14" t="n">
        <f aca="false">IFERROR((H267-H266)/H266,0)</f>
        <v>0</v>
      </c>
      <c r="I268" s="14" t="n">
        <f aca="false">IFERROR((I267-I266)/I266,0)</f>
        <v>0</v>
      </c>
      <c r="J268" s="14" t="n">
        <f aca="false">IFERROR((J267-J266)/J266,0)</f>
        <v>0</v>
      </c>
      <c r="K268" s="15" t="n">
        <f aca="false">IFERROR((SUM(D267:J267)-SUM(D266:J266))/SUM(D266:J266),0)</f>
        <v>0.15</v>
      </c>
    </row>
    <row r="269" customFormat="false" ht="15" hidden="false" customHeight="true" outlineLevel="0" collapsed="false">
      <c r="A269" s="42" t="s">
        <v>798</v>
      </c>
      <c r="B269" s="43" t="s">
        <v>799</v>
      </c>
      <c r="C269" s="5" t="s">
        <v>26</v>
      </c>
      <c r="D269" s="6" t="n">
        <v>1</v>
      </c>
      <c r="E269" s="6" t="n">
        <v>0</v>
      </c>
      <c r="F269" s="6" t="n">
        <v>0</v>
      </c>
      <c r="G269" s="6" t="n">
        <v>1</v>
      </c>
      <c r="H269" s="6" t="n">
        <v>0</v>
      </c>
      <c r="I269" s="6" t="n">
        <v>0</v>
      </c>
      <c r="J269" s="6" t="n">
        <v>0</v>
      </c>
      <c r="K269" s="7" t="n">
        <f aca="false">SUM(D269:J269)</f>
        <v>2</v>
      </c>
    </row>
    <row r="270" customFormat="false" ht="15" hidden="false" customHeight="false" outlineLevel="0" collapsed="false">
      <c r="A270" s="42"/>
      <c r="B270" s="42"/>
      <c r="C270" s="44" t="s">
        <v>14</v>
      </c>
      <c r="D270" s="9" t="n">
        <v>0.7</v>
      </c>
      <c r="E270" s="9" t="n">
        <v>0.2</v>
      </c>
      <c r="F270" s="9" t="n">
        <v>0</v>
      </c>
      <c r="G270" s="9" t="n">
        <v>1.2</v>
      </c>
      <c r="H270" s="9" t="n">
        <v>0.1</v>
      </c>
      <c r="I270" s="9" t="n">
        <v>0</v>
      </c>
      <c r="J270" s="9" t="n">
        <v>0</v>
      </c>
      <c r="K270" s="10" t="n">
        <f aca="false">SUM(D270:J270)</f>
        <v>2.2</v>
      </c>
    </row>
    <row r="271" customFormat="false" ht="15" hidden="false" customHeight="false" outlineLevel="0" collapsed="false">
      <c r="A271" s="42"/>
      <c r="B271" s="42"/>
      <c r="C271" s="11" t="s">
        <v>41</v>
      </c>
      <c r="D271" s="14" t="n">
        <f aca="false">IFERROR((D270-D269)/D269,0)</f>
        <v>-0.3</v>
      </c>
      <c r="E271" s="14" t="n">
        <f aca="false">IFERROR((E270-E269)/E269,0)</f>
        <v>0</v>
      </c>
      <c r="F271" s="14" t="n">
        <f aca="false">IFERROR((F270-F269)/F269,0)</f>
        <v>0</v>
      </c>
      <c r="G271" s="14" t="n">
        <f aca="false">IFERROR((G270-G269)/G269,0)</f>
        <v>0.2</v>
      </c>
      <c r="H271" s="14" t="n">
        <f aca="false">IFERROR((H270-H269)/H269,0)</f>
        <v>0</v>
      </c>
      <c r="I271" s="14" t="n">
        <f aca="false">IFERROR((I270-I269)/I269,0)</f>
        <v>0</v>
      </c>
      <c r="J271" s="14" t="n">
        <f aca="false">IFERROR((J270-J269)/J269,0)</f>
        <v>0</v>
      </c>
      <c r="K271" s="15" t="n">
        <f aca="false">IFERROR((SUM(D270:J270)-SUM(D269:J269))/SUM(D269:J269),0)</f>
        <v>0.1</v>
      </c>
    </row>
    <row r="272" customFormat="false" ht="15" hidden="false" customHeight="true" outlineLevel="0" collapsed="false">
      <c r="A272" s="42" t="s">
        <v>800</v>
      </c>
      <c r="B272" s="43" t="s">
        <v>801</v>
      </c>
      <c r="C272" s="5" t="s">
        <v>26</v>
      </c>
      <c r="D272" s="6" t="n">
        <v>1</v>
      </c>
      <c r="E272" s="6" t="n">
        <v>0</v>
      </c>
      <c r="F272" s="6" t="n">
        <v>0</v>
      </c>
      <c r="G272" s="6" t="n">
        <v>0</v>
      </c>
      <c r="H272" s="6" t="n">
        <v>1</v>
      </c>
      <c r="I272" s="6" t="n">
        <v>0</v>
      </c>
      <c r="J272" s="6" t="n">
        <v>0</v>
      </c>
      <c r="K272" s="7" t="n">
        <f aca="false">SUM(D272:J272)</f>
        <v>2</v>
      </c>
    </row>
    <row r="273" customFormat="false" ht="15" hidden="false" customHeight="false" outlineLevel="0" collapsed="false">
      <c r="A273" s="42"/>
      <c r="B273" s="42"/>
      <c r="C273" s="44" t="s">
        <v>14</v>
      </c>
      <c r="D273" s="9" t="n">
        <v>1.2</v>
      </c>
      <c r="E273" s="9" t="n">
        <v>0.3</v>
      </c>
      <c r="F273" s="9" t="n">
        <v>0.2</v>
      </c>
      <c r="G273" s="9" t="n">
        <v>0.3</v>
      </c>
      <c r="H273" s="9" t="n">
        <v>0.7</v>
      </c>
      <c r="I273" s="9" t="n">
        <v>0.3</v>
      </c>
      <c r="J273" s="9" t="n">
        <v>0.1</v>
      </c>
      <c r="K273" s="10" t="n">
        <f aca="false">SUM(D273:J273)</f>
        <v>3.1</v>
      </c>
    </row>
    <row r="274" customFormat="false" ht="15" hidden="false" customHeight="false" outlineLevel="0" collapsed="false">
      <c r="A274" s="42"/>
      <c r="B274" s="42"/>
      <c r="C274" s="11" t="s">
        <v>41</v>
      </c>
      <c r="D274" s="14" t="n">
        <f aca="false">IFERROR((D273-D272)/D272,0)</f>
        <v>0.2</v>
      </c>
      <c r="E274" s="14" t="n">
        <f aca="false">IFERROR((E273-E272)/E272,0)</f>
        <v>0</v>
      </c>
      <c r="F274" s="14" t="n">
        <f aca="false">IFERROR((F273-F272)/F272,0)</f>
        <v>0</v>
      </c>
      <c r="G274" s="14" t="n">
        <f aca="false">IFERROR((G273-G272)/G272,0)</f>
        <v>0</v>
      </c>
      <c r="H274" s="14" t="n">
        <f aca="false">IFERROR((H273-H272)/H272,0)</f>
        <v>-0.3</v>
      </c>
      <c r="I274" s="14" t="n">
        <f aca="false">IFERROR((I273-I272)/I272,0)</f>
        <v>0</v>
      </c>
      <c r="J274" s="14" t="n">
        <f aca="false">IFERROR((J273-J272)/J272,0)</f>
        <v>0</v>
      </c>
      <c r="K274" s="15" t="n">
        <f aca="false">IFERROR((SUM(D273:J273)-SUM(D272:J272))/SUM(D272:J272),0)</f>
        <v>0.55</v>
      </c>
    </row>
    <row r="275" customFormat="false" ht="15" hidden="false" customHeight="true" outlineLevel="0" collapsed="false">
      <c r="A275" s="42" t="s">
        <v>802</v>
      </c>
      <c r="B275" s="43" t="s">
        <v>803</v>
      </c>
      <c r="C275" s="5" t="s">
        <v>26</v>
      </c>
      <c r="D275" s="6" t="n">
        <v>0</v>
      </c>
      <c r="E275" s="6" t="n">
        <v>0</v>
      </c>
      <c r="F275" s="6" t="n">
        <v>0</v>
      </c>
      <c r="G275" s="6" t="n">
        <v>1</v>
      </c>
      <c r="H275" s="6" t="n">
        <v>1</v>
      </c>
      <c r="I275" s="6" t="n">
        <v>0</v>
      </c>
      <c r="J275" s="6" t="n">
        <v>0</v>
      </c>
      <c r="K275" s="7" t="n">
        <f aca="false">SUM(D275:J275)</f>
        <v>2</v>
      </c>
    </row>
    <row r="276" customFormat="false" ht="15" hidden="false" customHeight="false" outlineLevel="0" collapsed="false">
      <c r="A276" s="42"/>
      <c r="B276" s="42"/>
      <c r="C276" s="44" t="s">
        <v>14</v>
      </c>
      <c r="D276" s="9" t="n">
        <v>0</v>
      </c>
      <c r="E276" s="9" t="n">
        <v>0</v>
      </c>
      <c r="F276" s="9" t="n">
        <v>0</v>
      </c>
      <c r="G276" s="9" t="n">
        <v>1.1</v>
      </c>
      <c r="H276" s="9" t="n">
        <v>1.2</v>
      </c>
      <c r="I276" s="9" t="n">
        <v>0</v>
      </c>
      <c r="J276" s="9" t="n">
        <v>0</v>
      </c>
      <c r="K276" s="10" t="n">
        <f aca="false">SUM(D276:J276)</f>
        <v>2.3</v>
      </c>
    </row>
    <row r="277" customFormat="false" ht="15" hidden="false" customHeight="false" outlineLevel="0" collapsed="false">
      <c r="A277" s="42"/>
      <c r="B277" s="42"/>
      <c r="C277" s="11" t="s">
        <v>41</v>
      </c>
      <c r="D277" s="14" t="n">
        <f aca="false">IFERROR((D276-D275)/D275,0)</f>
        <v>0</v>
      </c>
      <c r="E277" s="14" t="n">
        <f aca="false">IFERROR((E276-E275)/E275,0)</f>
        <v>0</v>
      </c>
      <c r="F277" s="14" t="n">
        <f aca="false">IFERROR((F276-F275)/F275,0)</f>
        <v>0</v>
      </c>
      <c r="G277" s="14" t="n">
        <f aca="false">IFERROR((G276-G275)/G275,0)</f>
        <v>0.1</v>
      </c>
      <c r="H277" s="14" t="n">
        <f aca="false">IFERROR((H276-H275)/H275,0)</f>
        <v>0.2</v>
      </c>
      <c r="I277" s="14" t="n">
        <f aca="false">IFERROR((I276-I275)/I275,0)</f>
        <v>0</v>
      </c>
      <c r="J277" s="14" t="n">
        <f aca="false">IFERROR((J276-J275)/J275,0)</f>
        <v>0</v>
      </c>
      <c r="K277" s="15" t="n">
        <f aca="false">IFERROR((SUM(D276:J276)-SUM(D275:J275))/SUM(D275:J275),0)</f>
        <v>0.15</v>
      </c>
    </row>
    <row r="278" customFormat="false" ht="15" hidden="false" customHeight="true" outlineLevel="0" collapsed="false">
      <c r="A278" s="42" t="s">
        <v>804</v>
      </c>
      <c r="B278" s="43" t="s">
        <v>805</v>
      </c>
      <c r="C278" s="5" t="s">
        <v>26</v>
      </c>
      <c r="D278" s="6" t="n">
        <v>0</v>
      </c>
      <c r="E278" s="6" t="n">
        <v>0</v>
      </c>
      <c r="F278" s="6" t="n">
        <v>0</v>
      </c>
      <c r="G278" s="6" t="n">
        <v>0</v>
      </c>
      <c r="H278" s="6" t="n">
        <v>1</v>
      </c>
      <c r="I278" s="6" t="n">
        <v>0</v>
      </c>
      <c r="J278" s="6" t="n">
        <v>0</v>
      </c>
      <c r="K278" s="7" t="n">
        <f aca="false">SUM(D278:J278)</f>
        <v>1</v>
      </c>
    </row>
    <row r="279" customFormat="false" ht="15" hidden="false" customHeight="false" outlineLevel="0" collapsed="false">
      <c r="A279" s="42"/>
      <c r="B279" s="42"/>
      <c r="C279" s="44" t="s">
        <v>14</v>
      </c>
      <c r="D279" s="9" t="n">
        <v>0.3</v>
      </c>
      <c r="E279" s="9" t="n">
        <v>0.2</v>
      </c>
      <c r="F279" s="9" t="n">
        <v>0.4</v>
      </c>
      <c r="G279" s="9" t="n">
        <v>0.2</v>
      </c>
      <c r="H279" s="9" t="n">
        <v>1.2</v>
      </c>
      <c r="I279" s="9" t="n">
        <v>0.4</v>
      </c>
      <c r="J279" s="9" t="n">
        <v>0.1</v>
      </c>
      <c r="K279" s="10" t="n">
        <f aca="false">SUM(D279:J279)</f>
        <v>2.8</v>
      </c>
    </row>
    <row r="280" customFormat="false" ht="15" hidden="false" customHeight="false" outlineLevel="0" collapsed="false">
      <c r="A280" s="42"/>
      <c r="B280" s="42"/>
      <c r="C280" s="11" t="s">
        <v>41</v>
      </c>
      <c r="D280" s="14" t="n">
        <f aca="false">IFERROR((D279-D278)/D278,0)</f>
        <v>0</v>
      </c>
      <c r="E280" s="14" t="n">
        <f aca="false">IFERROR((E279-E278)/E278,0)</f>
        <v>0</v>
      </c>
      <c r="F280" s="14" t="n">
        <f aca="false">IFERROR((F279-F278)/F278,0)</f>
        <v>0</v>
      </c>
      <c r="G280" s="14" t="n">
        <f aca="false">IFERROR((G279-G278)/G278,0)</f>
        <v>0</v>
      </c>
      <c r="H280" s="14" t="n">
        <f aca="false">IFERROR((H279-H278)/H278,0)</f>
        <v>0.2</v>
      </c>
      <c r="I280" s="14" t="n">
        <f aca="false">IFERROR((I279-I278)/I278,0)</f>
        <v>0</v>
      </c>
      <c r="J280" s="14" t="n">
        <f aca="false">IFERROR((J279-J278)/J278,0)</f>
        <v>0</v>
      </c>
      <c r="K280" s="15" t="n">
        <f aca="false">IFERROR((SUM(D279:J279)-SUM(D278:J278))/SUM(D278:J278),0)</f>
        <v>1.8</v>
      </c>
    </row>
  </sheetData>
  <mergeCells count="188">
    <mergeCell ref="A1:K1"/>
    <mergeCell ref="A3:K3"/>
    <mergeCell ref="A4:B4"/>
    <mergeCell ref="A5:B5"/>
    <mergeCell ref="A6:B6"/>
    <mergeCell ref="A7:B7"/>
    <mergeCell ref="A8:B8"/>
    <mergeCell ref="A9:B9"/>
    <mergeCell ref="A10:B10"/>
    <mergeCell ref="A12:K12"/>
    <mergeCell ref="A14:A16"/>
    <mergeCell ref="B14:B16"/>
    <mergeCell ref="A17:A19"/>
    <mergeCell ref="B17:B19"/>
    <mergeCell ref="A20:A22"/>
    <mergeCell ref="B20:B22"/>
    <mergeCell ref="A23:A25"/>
    <mergeCell ref="B23:B25"/>
    <mergeCell ref="A26:A28"/>
    <mergeCell ref="B26:B28"/>
    <mergeCell ref="A29:A31"/>
    <mergeCell ref="B29:B31"/>
    <mergeCell ref="A32:A34"/>
    <mergeCell ref="B32:B34"/>
    <mergeCell ref="A35:A37"/>
    <mergeCell ref="B35:B37"/>
    <mergeCell ref="A38:A40"/>
    <mergeCell ref="B38:B40"/>
    <mergeCell ref="A41:A43"/>
    <mergeCell ref="B41:B43"/>
    <mergeCell ref="A44:A46"/>
    <mergeCell ref="B44:B46"/>
    <mergeCell ref="A47:A49"/>
    <mergeCell ref="B47:B49"/>
    <mergeCell ref="A50:A52"/>
    <mergeCell ref="B50:B52"/>
    <mergeCell ref="A53:A55"/>
    <mergeCell ref="B53:B55"/>
    <mergeCell ref="A56:A58"/>
    <mergeCell ref="B56:B58"/>
    <mergeCell ref="A59:A61"/>
    <mergeCell ref="B59:B61"/>
    <mergeCell ref="A62:A64"/>
    <mergeCell ref="B62:B64"/>
    <mergeCell ref="A65:A67"/>
    <mergeCell ref="B65:B67"/>
    <mergeCell ref="A68:A70"/>
    <mergeCell ref="B68:B70"/>
    <mergeCell ref="A71:A73"/>
    <mergeCell ref="B71:B73"/>
    <mergeCell ref="A74:A76"/>
    <mergeCell ref="B74:B76"/>
    <mergeCell ref="A77:A79"/>
    <mergeCell ref="B77:B79"/>
    <mergeCell ref="A80:A82"/>
    <mergeCell ref="B80:B82"/>
    <mergeCell ref="A83:A85"/>
    <mergeCell ref="B83:B85"/>
    <mergeCell ref="A86:A88"/>
    <mergeCell ref="B86:B88"/>
    <mergeCell ref="A89:A91"/>
    <mergeCell ref="B89:B91"/>
    <mergeCell ref="A92:A94"/>
    <mergeCell ref="B92:B94"/>
    <mergeCell ref="A95:A97"/>
    <mergeCell ref="B95:B97"/>
    <mergeCell ref="A98:A100"/>
    <mergeCell ref="B98:B100"/>
    <mergeCell ref="A101:A103"/>
    <mergeCell ref="B101:B103"/>
    <mergeCell ref="A104:A106"/>
    <mergeCell ref="B104:B106"/>
    <mergeCell ref="A107:A109"/>
    <mergeCell ref="B107:B109"/>
    <mergeCell ref="A110:A112"/>
    <mergeCell ref="B110:B112"/>
    <mergeCell ref="A113:A115"/>
    <mergeCell ref="B113:B115"/>
    <mergeCell ref="A116:A118"/>
    <mergeCell ref="B116:B118"/>
    <mergeCell ref="A119:A121"/>
    <mergeCell ref="B119:B121"/>
    <mergeCell ref="A122:A124"/>
    <mergeCell ref="B122:B124"/>
    <mergeCell ref="A125:A127"/>
    <mergeCell ref="B125:B127"/>
    <mergeCell ref="A128:A130"/>
    <mergeCell ref="B128:B130"/>
    <mergeCell ref="A131:A133"/>
    <mergeCell ref="B131:B133"/>
    <mergeCell ref="A134:A136"/>
    <mergeCell ref="B134:B136"/>
    <mergeCell ref="A137:A139"/>
    <mergeCell ref="B137:B139"/>
    <mergeCell ref="A140:A142"/>
    <mergeCell ref="B140:B142"/>
    <mergeCell ref="A143:A145"/>
    <mergeCell ref="B143:B145"/>
    <mergeCell ref="A146:A148"/>
    <mergeCell ref="B146:B148"/>
    <mergeCell ref="A149:A151"/>
    <mergeCell ref="B149:B151"/>
    <mergeCell ref="A152:A154"/>
    <mergeCell ref="B152:B154"/>
    <mergeCell ref="A155:A157"/>
    <mergeCell ref="B155:B157"/>
    <mergeCell ref="A158:A160"/>
    <mergeCell ref="B158:B160"/>
    <mergeCell ref="A161:A163"/>
    <mergeCell ref="B161:B163"/>
    <mergeCell ref="A164:A166"/>
    <mergeCell ref="B164:B166"/>
    <mergeCell ref="A167:A169"/>
    <mergeCell ref="B167:B169"/>
    <mergeCell ref="A170:A172"/>
    <mergeCell ref="B170:B172"/>
    <mergeCell ref="A173:A175"/>
    <mergeCell ref="B173:B175"/>
    <mergeCell ref="A176:A178"/>
    <mergeCell ref="B176:B178"/>
    <mergeCell ref="A179:A181"/>
    <mergeCell ref="B179:B181"/>
    <mergeCell ref="A182:A184"/>
    <mergeCell ref="B182:B184"/>
    <mergeCell ref="A185:A187"/>
    <mergeCell ref="B185:B187"/>
    <mergeCell ref="A188:A190"/>
    <mergeCell ref="B188:B190"/>
    <mergeCell ref="A191:A193"/>
    <mergeCell ref="B191:B193"/>
    <mergeCell ref="A194:A196"/>
    <mergeCell ref="B194:B196"/>
    <mergeCell ref="A197:A199"/>
    <mergeCell ref="B197:B199"/>
    <mergeCell ref="A200:A202"/>
    <mergeCell ref="B200:B202"/>
    <mergeCell ref="A203:A205"/>
    <mergeCell ref="B203:B205"/>
    <mergeCell ref="A206:A208"/>
    <mergeCell ref="B206:B208"/>
    <mergeCell ref="A209:A211"/>
    <mergeCell ref="B209:B211"/>
    <mergeCell ref="A212:A214"/>
    <mergeCell ref="B212:B214"/>
    <mergeCell ref="A215:A217"/>
    <mergeCell ref="B215:B217"/>
    <mergeCell ref="A218:A220"/>
    <mergeCell ref="B218:B220"/>
    <mergeCell ref="A221:A223"/>
    <mergeCell ref="B221:B223"/>
    <mergeCell ref="A224:A226"/>
    <mergeCell ref="B224:B226"/>
    <mergeCell ref="A227:A229"/>
    <mergeCell ref="B227:B229"/>
    <mergeCell ref="A230:A232"/>
    <mergeCell ref="B230:B232"/>
    <mergeCell ref="A233:A235"/>
    <mergeCell ref="B233:B235"/>
    <mergeCell ref="A236:A238"/>
    <mergeCell ref="B236:B238"/>
    <mergeCell ref="A239:A241"/>
    <mergeCell ref="B239:B241"/>
    <mergeCell ref="A242:A244"/>
    <mergeCell ref="B242:B244"/>
    <mergeCell ref="A245:A247"/>
    <mergeCell ref="B245:B247"/>
    <mergeCell ref="A248:A250"/>
    <mergeCell ref="B248:B250"/>
    <mergeCell ref="A251:A253"/>
    <mergeCell ref="B251:B253"/>
    <mergeCell ref="A254:A256"/>
    <mergeCell ref="B254:B256"/>
    <mergeCell ref="A257:A259"/>
    <mergeCell ref="B257:B259"/>
    <mergeCell ref="A260:A262"/>
    <mergeCell ref="B260:B262"/>
    <mergeCell ref="A263:A265"/>
    <mergeCell ref="B263:B265"/>
    <mergeCell ref="A266:A268"/>
    <mergeCell ref="B266:B268"/>
    <mergeCell ref="A269:A271"/>
    <mergeCell ref="B269:B271"/>
    <mergeCell ref="A272:A274"/>
    <mergeCell ref="B272:B274"/>
    <mergeCell ref="A275:A277"/>
    <mergeCell ref="B275:B277"/>
    <mergeCell ref="A278:A280"/>
    <mergeCell ref="B278:B2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2026-05-07T17:36:44Z</dcterms:created>
  <dc:creator>openpyxl</dc:creator>
  <dc:description/>
  <dc:language>en-US</dc:language>
  <cp:lastModifiedBy/>
  <dcterms:modified xsi:type="dcterms:W3CDTF">2026-05-07T17:36:51Z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